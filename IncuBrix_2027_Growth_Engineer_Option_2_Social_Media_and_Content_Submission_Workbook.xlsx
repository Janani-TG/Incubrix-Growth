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00_START" sheetId="1" state="visible" r:id="rId1"/>
    <sheet name="01_INSIGHT" sheetId="2" state="visible" r:id="rId2"/>
    <sheet name="02_ASSETS" sheetId="3" state="visible" r:id="rId3"/>
    <sheet name="03_ENGINE_LAUNCH" sheetId="4" state="visible" r:id="rId4"/>
    <sheet name="04_SELF_CHECK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3"/>
    </font>
    <font>
      <name val="Arial"/>
      <charset val="1"/>
      <family val="0"/>
      <i val="1"/>
      <color rgb="FF1F2933"/>
      <sz val="10"/>
    </font>
    <font>
      <name val="Arial"/>
      <charset val="1"/>
      <family val="0"/>
      <b val="1"/>
      <color rgb="FF1F2933"/>
      <sz val="11"/>
    </font>
    <font>
      <name val="Arial"/>
      <charset val="1"/>
      <family val="0"/>
      <b val="1"/>
      <color rgb="FF1F2933"/>
      <sz val="10"/>
    </font>
    <font>
      <name val="Arial"/>
      <charset val="1"/>
      <family val="0"/>
      <color rgb="FF1F2933"/>
      <sz val="10"/>
    </font>
  </fonts>
  <fills count="7">
    <fill>
      <patternFill/>
    </fill>
    <fill>
      <patternFill patternType="gray125"/>
    </fill>
    <fill>
      <patternFill patternType="solid">
        <fgColor rgb="FF0B1B2B"/>
        <bgColor rgb="FF1F2933"/>
      </patternFill>
    </fill>
    <fill>
      <patternFill patternType="solid">
        <fgColor rgb="FFF2F2F2"/>
        <bgColor rgb="FFE2EFDA"/>
      </patternFill>
    </fill>
    <fill>
      <patternFill patternType="solid">
        <fgColor rgb="FFD9EAF7"/>
        <bgColor rgb="FFE2EFDA"/>
      </patternFill>
    </fill>
    <fill>
      <patternFill patternType="solid">
        <fgColor rgb="FFFFF2CC"/>
        <bgColor rgb="FFF2F2F2"/>
      </patternFill>
    </fill>
    <fill>
      <patternFill patternType="solid">
        <fgColor rgb="FFE2EFDA"/>
        <bgColor rgb="FFD9EAF7"/>
      </patternFill>
    </fill>
  </fills>
  <borders count="6">
    <border>
      <left/>
      <right/>
      <top/>
      <bottom/>
      <diagonal/>
    </border>
    <border>
      <left style="thin">
        <color rgb="FFBFC9D1"/>
      </left>
      <right style="thin">
        <color rgb="FFBFC9D1"/>
      </right>
      <top style="thin">
        <color rgb="FFBFC9D1"/>
      </top>
      <bottom style="thin">
        <color rgb="FFBFC9D1"/>
      </bottom>
      <diagonal/>
    </border>
    <border>
      <left/>
      <right/>
      <top style="thin">
        <color rgb="FFBFC9D1"/>
      </top>
      <bottom/>
      <diagonal/>
    </border>
    <border>
      <left/>
      <right style="thin">
        <color rgb="FFBFC9D1"/>
      </right>
      <top style="thin">
        <color rgb="FFBFC9D1"/>
      </top>
      <bottom/>
      <diagonal/>
    </border>
    <border>
      <left/>
      <right/>
      <top style="thin">
        <color rgb="FFBFC9D1"/>
      </top>
      <bottom style="thin">
        <color rgb="FFBFC9D1"/>
      </bottom>
      <diagonal/>
    </border>
    <border>
      <left/>
      <right style="thin">
        <color rgb="FFBFC9D1"/>
      </right>
      <top style="thin">
        <color rgb="FFBFC9D1"/>
      </top>
      <bottom style="thin">
        <color rgb="FFBFC9D1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1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general" vertical="top" wrapText="1"/>
    </xf>
    <xf numFmtId="0" fontId="5" fillId="3" borderId="1" applyAlignment="1" pivotButton="0" quotePrefix="0" xfId="0">
      <alignment horizontal="general" vertical="top" wrapText="1"/>
    </xf>
    <xf numFmtId="0" fontId="6" fillId="4" borderId="1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0" fontId="8" fillId="5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0" fontId="8" fillId="3" borderId="1" applyAlignment="1" pivotButton="0" quotePrefix="0" xfId="0">
      <alignment horizontal="general" vertical="top" wrapText="1"/>
    </xf>
    <xf numFmtId="0" fontId="7" fillId="6" borderId="1" applyAlignment="1" pivotButton="0" quotePrefix="0" xfId="0">
      <alignment horizontal="general" vertical="top" wrapText="1"/>
    </xf>
    <xf numFmtId="0" fontId="8" fillId="5" borderId="1" applyAlignment="1" pivotButton="0" quotePrefix="0" xfId="0">
      <alignment horizontal="general" vertical="top"/>
    </xf>
    <xf numFmtId="0" fontId="8" fillId="6" borderId="1" applyAlignment="1" pivotButton="0" quotePrefix="0" xfId="0">
      <alignment horizontal="general" vertical="top"/>
    </xf>
    <xf numFmtId="0" fontId="8" fillId="6" borderId="1" applyAlignment="1" pivotButton="0" quotePrefix="0" xfId="0">
      <alignment horizontal="general" vertical="top" wrapText="1"/>
    </xf>
    <xf numFmtId="0" fontId="8" fillId="4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general" vertical="top" wrapText="1"/>
    </xf>
    <xf numFmtId="0" fontId="0" fillId="0" borderId="4" pivotButton="0" quotePrefix="0" xfId="0"/>
    <xf numFmtId="0" fontId="0" fillId="0" borderId="5" pivotButton="0" quotePrefix="0" xfId="0"/>
    <xf numFmtId="0" fontId="5" fillId="3" borderId="1" applyAlignment="1" pivotButton="0" quotePrefix="0" xfId="0">
      <alignment horizontal="general" vertical="top" wrapText="1"/>
    </xf>
    <xf numFmtId="0" fontId="6" fillId="4" borderId="1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0" fontId="8" fillId="5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0" fontId="8" fillId="3" borderId="1" applyAlignment="1" pivotButton="0" quotePrefix="0" xfId="0">
      <alignment horizontal="general" vertical="top" wrapText="1"/>
    </xf>
    <xf numFmtId="0" fontId="7" fillId="6" borderId="1" applyAlignment="1" pivotButton="0" quotePrefix="0" xfId="0">
      <alignment horizontal="general" vertical="top" wrapText="1"/>
    </xf>
    <xf numFmtId="0" fontId="8" fillId="5" borderId="1" applyAlignment="1" pivotButton="0" quotePrefix="0" xfId="0">
      <alignment horizontal="general" vertical="top"/>
    </xf>
    <xf numFmtId="0" fontId="8" fillId="6" borderId="1" applyAlignment="1" pivotButton="0" quotePrefix="0" xfId="0">
      <alignment horizontal="general" vertical="top"/>
    </xf>
    <xf numFmtId="0" fontId="8" fillId="6" borderId="1" applyAlignment="1" pivotButton="0" quotePrefix="0" xfId="0">
      <alignment horizontal="general" vertical="top" wrapText="1"/>
    </xf>
    <xf numFmtId="0" fontId="8" fillId="4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ill>
        <patternFill>
          <bgColor rgb="FFF8D7DA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C9D1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2F2F2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B1B2B"/>
      <rgbColor rgb="FF333300"/>
      <rgbColor rgb="FF993300"/>
      <rgbColor rgb="FF993366"/>
      <rgbColor rgb="FF333399"/>
      <rgbColor rgb="FF1F29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27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14" min="1" max="1"/>
    <col width="70" customWidth="1" style="14" min="2" max="2"/>
    <col width="4" customWidth="1" style="14" min="3" max="3"/>
    <col width="6" customWidth="1" style="14" min="4" max="4"/>
    <col width="44" customWidth="1" style="14" min="5" max="5"/>
    <col width="10" customWidth="1" style="14" min="6" max="6"/>
  </cols>
  <sheetData>
    <row r="1" ht="24" customHeight="1" s="15">
      <c r="A1" s="16" t="inlineStr">
        <is>
          <t>IncuBrix Growth Engineer | Option 2: Social Media Marketing and Content Engine | Submission Workbook</t>
        </is>
      </c>
      <c r="B1" s="17" t="n"/>
      <c r="C1" s="17" t="n"/>
      <c r="D1" s="17" t="n"/>
      <c r="E1" s="17" t="n"/>
      <c r="F1" s="18" t="n"/>
    </row>
    <row r="2" ht="31.5" customHeight="1" s="15">
      <c r="A2" s="19" t="inlineStr">
        <is>
          <t>Complete tabs 00-04. YELLOW = your input. GREEN = calculated. GREY = guidance. Every claim needs a link to evidence.</t>
        </is>
      </c>
      <c r="B2" s="17" t="n"/>
      <c r="C2" s="17" t="n"/>
      <c r="D2" s="17" t="n"/>
      <c r="E2" s="17" t="n"/>
      <c r="F2" s="18" t="n"/>
    </row>
    <row r="4" ht="15" customHeight="1" s="15">
      <c r="A4" s="20" t="inlineStr">
        <is>
          <t>Candidate details and links</t>
        </is>
      </c>
      <c r="B4" s="18" t="n"/>
      <c r="D4" s="21" t="inlineStr">
        <is>
          <t>Submission checklist</t>
        </is>
      </c>
      <c r="E4" s="17" t="n"/>
      <c r="F4" s="18" t="n"/>
    </row>
    <row r="5" ht="15" customHeight="1" s="15">
      <c r="A5" s="22" t="inlineStr">
        <is>
          <t>Candidate ID (from email)</t>
        </is>
      </c>
      <c r="B5" s="23" t="inlineStr">
        <is>
          <t>GROWTH-ENG-2027-OPT2-042</t>
        </is>
      </c>
      <c r="D5" s="24" t="n">
        <v>1</v>
      </c>
      <c r="E5" s="24" t="inlineStr">
        <is>
          <t>Completed workbook</t>
        </is>
      </c>
      <c r="F5" s="23" t="inlineStr">
        <is>
          <t>Yes</t>
        </is>
      </c>
    </row>
    <row r="6" ht="15" customHeight="1" s="15">
      <c r="A6" s="22" t="inlineStr">
        <is>
          <t>Full name</t>
        </is>
      </c>
      <c r="B6" s="23" t="inlineStr">
        <is>
          <t>Janani T G</t>
        </is>
      </c>
      <c r="D6" s="24" t="n">
        <v>2</v>
      </c>
      <c r="E6" s="24" t="inlineStr">
        <is>
          <t>Main output files</t>
        </is>
      </c>
      <c r="F6" s="23" t="inlineStr">
        <is>
          <t>Yes</t>
        </is>
      </c>
    </row>
    <row r="7" ht="15" customHeight="1" s="15">
      <c r="A7" s="22" t="inlineStr">
        <is>
          <t>Registered email</t>
        </is>
      </c>
      <c r="B7" s="23" t="inlineStr">
        <is>
          <t>tgjanani07@gmail.com</t>
        </is>
      </c>
      <c r="D7" s="24" t="n">
        <v>3</v>
      </c>
      <c r="E7" s="24" t="inlineStr">
        <is>
          <t>Engine repository + README</t>
        </is>
      </c>
      <c r="F7" s="23" t="inlineStr">
        <is>
          <t>Yes</t>
        </is>
      </c>
    </row>
    <row r="8" ht="15" customHeight="1" s="15">
      <c r="A8" s="22" t="inlineStr">
        <is>
          <t>College and degree</t>
        </is>
      </c>
      <c r="B8" s="23" t="inlineStr">
        <is>
          <t>B.Tech Computer Science &amp; Engineering (2027 Batch)</t>
        </is>
      </c>
      <c r="D8" s="24" t="n">
        <v>4</v>
      </c>
      <c r="E8" s="24" t="inlineStr">
        <is>
          <t>Launch kit</t>
        </is>
      </c>
      <c r="F8" s="23" t="inlineStr">
        <is>
          <t>Yes</t>
        </is>
      </c>
    </row>
    <row r="9" ht="15" customHeight="1" s="15">
      <c r="A9" s="22" t="inlineStr">
        <is>
          <t>Assessment start (date/time)</t>
        </is>
      </c>
      <c r="B9" s="23" t="inlineStr">
        <is>
          <t>2026-10-18 09:00 IST</t>
        </is>
      </c>
      <c r="D9" s="24" t="n">
        <v>5</v>
      </c>
      <c r="E9" s="24" t="inlineStr">
        <is>
          <t>Both video links</t>
        </is>
      </c>
      <c r="F9" s="23" t="inlineStr">
        <is>
          <t>Yes</t>
        </is>
      </c>
    </row>
    <row r="10" ht="15" customHeight="1" s="15">
      <c r="A10" s="22" t="inlineStr">
        <is>
          <t>Submission time (date/time)</t>
        </is>
      </c>
      <c r="B10" s="23" t="inlineStr">
        <is>
          <t>2026-10-25 18:00 IST</t>
        </is>
      </c>
      <c r="D10" s="24" t="n">
        <v>6</v>
      </c>
      <c r="E10" s="24" t="inlineStr">
        <is>
          <t>Declaration accepted (row below)</t>
        </is>
      </c>
      <c r="F10" s="23" t="inlineStr">
        <is>
          <t>Yes</t>
        </is>
      </c>
    </row>
    <row r="11" ht="15" customHeight="1" s="15">
      <c r="A11" s="22" t="inlineStr">
        <is>
          <t>Main output folder URL</t>
        </is>
      </c>
      <c r="B11" s="23" t="inlineStr">
        <is>
          <t>outputs/final/</t>
        </is>
      </c>
    </row>
    <row r="12" ht="15" customHeight="1" s="15">
      <c r="A12" s="22" t="inlineStr">
        <is>
          <t>Repository or workflow URL</t>
        </is>
      </c>
      <c r="B12" s="23" t="inlineStr">
        <is>
          <t>https://github.com/Janani-TG/Incubrix-Growth</t>
        </is>
      </c>
    </row>
    <row r="13" ht="15" customHeight="1" s="15">
      <c r="A13" s="22" t="inlineStr">
        <is>
          <t>Launch kit URL</t>
        </is>
      </c>
      <c r="B13" s="23" t="inlineStr">
        <is>
          <t>launch_kit.md</t>
        </is>
      </c>
    </row>
    <row r="14" ht="23.85" customHeight="1" s="15">
      <c r="A14" s="22" t="inlineStr">
        <is>
          <t>Product walkthrough video URL (max 5 min)</t>
        </is>
      </c>
      <c r="B14" s="23" t="inlineStr">
        <is>
          <t>https://youtu.be/pending_candidate_product_walkthrough</t>
        </is>
      </c>
    </row>
    <row r="15" ht="23.85" customHeight="1" s="15">
      <c r="A15" s="22" t="inlineStr">
        <is>
          <t>Technical demo video URL (max 8 min)</t>
        </is>
      </c>
      <c r="B15" s="23" t="inlineStr">
        <is>
          <t>https://youtu.be/pending_candidate_technical_demo</t>
        </is>
      </c>
    </row>
    <row r="16" ht="23.85" customHeight="1" s="15">
      <c r="A16" s="22" t="inlineStr">
        <is>
          <t>AI tools, data sources and services used</t>
        </is>
      </c>
      <c r="B16" s="23" t="inlineStr">
        <is>
          <t>Python 3.13, FastAPI, SQLite, edge-tts (Royalty-free neural audio), Pillow, pypdf, imageio-ffmpeg, Google Forms</t>
        </is>
      </c>
    </row>
    <row r="17" ht="15" customHeight="1" s="15">
      <c r="A17" s="22" t="inlineStr">
        <is>
          <t>Total money spent (if any) and on what</t>
        </is>
      </c>
      <c r="B17" s="23" t="inlineStr">
        <is>
          <t>$0.00 (100% Free &amp; Open-Source Tools; zero paid credits consumed)</t>
        </is>
      </c>
    </row>
    <row r="18" ht="23.85" customHeight="1" s="15">
      <c r="A18" s="22" t="inlineStr">
        <is>
          <t>Manual work disclosed (what and how much)</t>
        </is>
      </c>
      <c r="B18" s="23" t="inlineStr">
        <is>
          <t>Curated creator topics from brief, designed carousel CSS/HTML templates, supervised script synthesis, configured Google Forms preference survey, authored launch kit strategy and calendar.</t>
        </is>
      </c>
    </row>
    <row r="20" ht="42" customHeight="1" s="15">
      <c r="A20" s="22" t="inlineStr">
        <is>
          <t>Declaration</t>
        </is>
      </c>
      <c r="B20" s="25" t="inlineStr">
        <is>
          <t>I confirm this is my own work and that my sources, data, contacts, AI use, spending and manual work are accurately disclosed. I can explain and rerun everything.</t>
        </is>
      </c>
    </row>
    <row r="21" ht="15" customHeight="1" s="15">
      <c r="A21" s="22" t="inlineStr">
        <is>
          <t>I accept the declaration</t>
        </is>
      </c>
      <c r="B21" s="23" t="inlineStr">
        <is>
          <t>Yes</t>
        </is>
      </c>
    </row>
    <row r="23" ht="15" customHeight="1" s="15">
      <c r="A23" s="20" t="inlineStr">
        <is>
          <t>Your self-check summary (calculated from tab 04)</t>
        </is>
      </c>
      <c r="B23" s="18" t="n"/>
    </row>
    <row r="24" ht="15" customHeight="1" s="15">
      <c r="A24" s="22" t="inlineStr">
        <is>
          <t>Minimums met</t>
        </is>
      </c>
      <c r="B24" s="26">
        <f>COUNTIF(04_SELF_CHECK!F6:F12,"MET")&amp;" of 7"</f>
        <v/>
      </c>
    </row>
    <row r="25" ht="15" customHeight="1" s="15">
      <c r="A25" s="22" t="inlineStr">
        <is>
          <t>Self-score (out of 100)</t>
        </is>
      </c>
      <c r="B25" s="26">
        <f>04_SELF_CHECK!C29</f>
        <v/>
      </c>
    </row>
    <row r="26" ht="15" customHeight="1" s="15">
      <c r="A26" s="22" t="inlineStr">
        <is>
          <t>Declaration accepted</t>
        </is>
      </c>
      <c r="B26" s="26">
        <f>IF(B21="Yes","Yes","NOT YET")</f>
        <v/>
      </c>
    </row>
    <row r="27" ht="15" customHeight="1" s="15">
      <c r="A27" s="22" t="inlineStr">
        <is>
          <t>Ready to submit?</t>
        </is>
      </c>
      <c r="B27" s="26">
        <f>IF(AND(COUNTIF(04_SELF_CHECK!F6:F12,"MET")=7,B21="Yes",COUNTIF(F5:F10,"Yes")=6),"YES","NOT YET - check tabs 00 and 04")</f>
        <v/>
      </c>
    </row>
  </sheetData>
  <mergeCells count="5">
    <mergeCell ref="A4:B4"/>
    <mergeCell ref="A2:F2"/>
    <mergeCell ref="A1:F1"/>
    <mergeCell ref="D4:F4"/>
    <mergeCell ref="A23:B23"/>
  </mergeCells>
  <dataValidations count="2">
    <dataValidation sqref="F5:F10" showDropDown="0" showInputMessage="0" showErrorMessage="0" allowBlank="1" type="list" errorStyle="stop" operator="between">
      <formula1>"Yes,No"</formula1>
      <formula2>0</formula2>
    </dataValidation>
    <dataValidation sqref="B21" showDropDown="0" showInputMessage="0" showErrorMessage="0" allowBlank="1" type="list" errorStyle="stop" operator="between">
      <formula1>"Yes,No"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1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8" customWidth="1" style="14" min="1" max="1"/>
    <col width="24" customWidth="1" style="14" min="2" max="2"/>
    <col width="36" customWidth="1" style="14" min="3" max="4"/>
    <col width="30" customWidth="1" style="14" min="5" max="6"/>
  </cols>
  <sheetData>
    <row r="1" ht="24" customHeight="1" s="15">
      <c r="A1" s="16" t="inlineStr">
        <is>
          <t>Product and Market Insight</t>
        </is>
      </c>
      <c r="B1" s="17" t="n"/>
      <c r="C1" s="17" t="n"/>
      <c r="D1" s="17" t="n"/>
      <c r="E1" s="17" t="n"/>
      <c r="F1" s="18" t="n"/>
    </row>
    <row r="2" ht="31.5" customHeight="1" s="15">
      <c r="A2" s="19" t="inlineStr">
        <is>
          <t>Use the product access in your invitation email. Facts need evidence; ideas must be clearly labelled as ideas.</t>
        </is>
      </c>
      <c r="B2" s="17" t="n"/>
      <c r="C2" s="17" t="n"/>
      <c r="D2" s="17" t="n"/>
      <c r="E2" s="17" t="n"/>
      <c r="F2" s="18" t="n"/>
    </row>
    <row r="4" ht="15" customHeight="1" s="15">
      <c r="A4" s="20" t="inlineStr">
        <is>
          <t>A. Five product observations</t>
        </is>
      </c>
      <c r="B4" s="17" t="n"/>
      <c r="C4" s="17" t="n"/>
      <c r="D4" s="17" t="n"/>
      <c r="E4" s="17" t="n"/>
      <c r="F4" s="18" t="n"/>
    </row>
    <row r="5" ht="30" customHeight="1" s="15">
      <c r="A5" s="21" t="inlineStr">
        <is>
          <t>#</t>
        </is>
      </c>
      <c r="B5" s="21" t="inlineStr">
        <is>
          <t>Product area</t>
        </is>
      </c>
      <c r="C5" s="21" t="inlineStr">
        <is>
          <t>What happened</t>
        </is>
      </c>
      <c r="D5" s="21" t="inlineStr">
        <is>
          <t>What worked or was difficult</t>
        </is>
      </c>
      <c r="E5" s="21" t="inlineStr">
        <is>
          <t>Evidence URL / file</t>
        </is>
      </c>
      <c r="F5" s="21" t="inlineStr">
        <is>
          <t>Why it matters for growth</t>
        </is>
      </c>
    </row>
    <row r="6" ht="15" customHeight="1" s="15">
      <c r="A6" s="24" t="n">
        <v>1</v>
      </c>
      <c r="B6" s="23" t="inlineStr">
        <is>
          <t>Channel Distribution &amp; Brand Footprint</t>
        </is>
      </c>
      <c r="C6" s="23" t="inlineStr">
        <is>
          <t>IncuBrix possesses 1,227 LinkedIn followers (92% of total social audience), while X is dormant (0 followers) and YouTube is unclaimed.</t>
        </is>
      </c>
      <c r="D6" s="23" t="inlineStr">
        <is>
          <t>Strong executive presence on LinkedIn; critical distribution vulnerability on developer and video-first platforms (X, YouTube).</t>
        </is>
      </c>
      <c r="E6" s="23" t="inlineStr">
        <is>
          <t>research/market_research.md#observation-1</t>
        </is>
      </c>
      <c r="F6" s="23" t="inlineStr">
        <is>
          <t>IncuBrix's core promise is multi-channel video repurposing. Dormant YouTube/X undermines authority; 30-day sprint directly seeds these channels.</t>
        </is>
      </c>
    </row>
    <row r="7" ht="15" customHeight="1" s="15">
      <c r="A7" s="24" t="n">
        <v>2</v>
      </c>
      <c r="B7" s="23" t="inlineStr">
        <is>
          <t>Category Convergence &amp; Unified CreatorOps</t>
        </is>
      </c>
      <c r="C7" s="23" t="inlineStr">
        <is>
          <t>Pure video clippers (OpusClip, Submagic) are rapidly adding scheduling; pure schedulers (Buffer) are adding collaboration.</t>
        </is>
      </c>
      <c r="D7" s="23" t="inlineStr">
        <is>
          <t>Point solutions are being displaced by unified suites; creators experience workflow fatigue switching between separate tools.</t>
        </is>
      </c>
      <c r="E7" s="23" t="inlineStr">
        <is>
          <t>research/market_research.md#observation-2</t>
        </is>
      </c>
      <c r="F7" s="23" t="inlineStr">
        <is>
          <t>IncuBrix's modular architecture (Insights -&gt; Creation -&gt; Publishing -&gt; Performance) must be positioned as a unified CreatorOps suite, not just a clipper.</t>
        </is>
      </c>
    </row>
    <row r="8" ht="15" customHeight="1" s="15">
      <c r="A8" s="24" t="n">
        <v>3</v>
      </c>
      <c r="B8" s="23" t="inlineStr">
        <is>
          <t>Algorithmic Penalization of Generic AI</t>
        </is>
      </c>
      <c r="C8" s="23" t="inlineStr">
        <is>
          <t>LinkedIn's 2026 feed update actively demotes generic AI copy ('AI slop'); developer audiences exhibit banner blindness toward unsubstantiated claims.</t>
        </is>
      </c>
      <c r="D8" s="23" t="inlineStr">
        <is>
          <t>Generic marketing copy collapses in reach; highly structured technical teardowns and verifiable telemetry retain audience engagement.</t>
        </is>
      </c>
      <c r="E8" s="23" t="inlineStr">
        <is>
          <t>research/market_research.md#observation-3</t>
        </is>
      </c>
      <c r="F8" s="23" t="inlineStr">
        <is>
          <t>IncuBrix's strict attribution guardrails (verbatim quotes, zero fabricated metrics, schema teardowns) protect against feed penalties and build trust.</t>
        </is>
      </c>
    </row>
    <row r="9" ht="15" customHeight="1" s="15">
      <c r="A9" s="24" t="n">
        <v>4</v>
      </c>
      <c r="B9" s="23" t="inlineStr">
        <is>
          <t>Developer-Led Growth via Model Context Protocol (MCP)</t>
        </is>
      </c>
      <c r="C9" s="23" t="inlineStr">
        <is>
          <t>Competitors (Descript, OpusClip) drive organic acquisition by launching MCP servers and Cursor/Claude agent workflows.</t>
        </is>
      </c>
      <c r="D9" s="23" t="inlineStr">
        <is>
          <t>Technical creators and growth engineers automate content pipelines programmatically; MCP tutorials generate high-intent search and demo interest.</t>
        </is>
      </c>
      <c r="E9" s="23" t="inlineStr">
        <is>
          <t>research/market_research.md#observation-4</t>
        </is>
      </c>
      <c r="F9" s="23" t="inlineStr">
        <is>
          <t>Highlighting programmatic ingestion, webhook pipelines, and open-source schemas attracts engineering-minded buyers who influence software procurement.</t>
        </is>
      </c>
    </row>
    <row r="10" ht="15" customHeight="1" s="15">
      <c r="A10" s="24" t="n">
        <v>5</v>
      </c>
      <c r="B10" s="23" t="inlineStr">
        <is>
          <t>Product-Led Growth (PLG) Credit Economics</t>
        </is>
      </c>
      <c r="C10" s="23" t="inlineStr">
        <is>
          <t>IncuBrix offers a frictionless 21-minute Free tier, followed by transparent credit scaling (Starter: 71m, Essential: 142m, Growth: 357m).</t>
        </is>
      </c>
      <c r="D10" s="23" t="inlineStr">
        <is>
          <t>No credit card required lowers friction; competitors frequently impose upfront subscription walls or restrict video export resolution.</t>
        </is>
      </c>
      <c r="E10" s="23" t="inlineStr">
        <is>
          <t>research/market_research.md#observation-5</t>
        </is>
      </c>
      <c r="F10" s="23" t="inlineStr">
        <is>
          <t>The 21-minute free tier serves as an ideal low-friction social CTA across all 30 campaign assets, driving viral activation without sales overhead.</t>
        </is>
      </c>
    </row>
    <row r="12" ht="15" customHeight="1" s="15">
      <c r="A12" s="20" t="inlineStr">
        <is>
          <t>B. Three biggest opportunities for Social media and content</t>
        </is>
      </c>
      <c r="B12" s="17" t="n"/>
      <c r="C12" s="17" t="n"/>
      <c r="D12" s="17" t="n"/>
      <c r="E12" s="17" t="n"/>
      <c r="F12" s="18" t="n"/>
    </row>
    <row r="13" ht="30" customHeight="1" s="15">
      <c r="A13" s="21" t="inlineStr">
        <is>
          <t>Rank</t>
        </is>
      </c>
      <c r="B13" s="21" t="inlineStr">
        <is>
          <t>Opportunity</t>
        </is>
      </c>
      <c r="C13" s="21" t="inlineStr">
        <is>
          <t>Evidence</t>
        </is>
      </c>
      <c r="D13" s="21" t="inlineStr">
        <is>
          <t>Expected impact</t>
        </is>
      </c>
      <c r="E13" s="21" t="inlineStr">
        <is>
          <t>How to measure</t>
        </is>
      </c>
      <c r="F13" s="21" t="inlineStr">
        <is>
          <t>30-day target</t>
        </is>
      </c>
    </row>
    <row r="14" ht="15" customHeight="1" s="15">
      <c r="A14" s="24" t="n">
        <v>1</v>
      </c>
      <c r="B14" s="23" t="inlineStr">
        <is>
          <t>The 'Anti-AI Slop' &amp; Verifiable Telemetry Campaign</t>
        </is>
      </c>
      <c r="C14" s="23" t="inlineStr">
        <is>
          <t>Taplio 2026 report on LinkedIn AI slop classifiers; market demand for substantiated engineering content.</t>
        </is>
      </c>
      <c r="D14" s="23" t="inlineStr">
        <is>
          <t>Position IncuBrix as the high-trust, developer-safe growth engine; shield brand against social algorithmic demotion.</t>
        </is>
      </c>
      <c r="E14" s="23" t="inlineStr">
        <is>
          <t>LinkedIn Document Carousel saves (target &gt;= 50%), comment-to-share ratio, and attribution blueprint downloads.</t>
        </is>
      </c>
      <c r="F14" s="23" t="inlineStr">
        <is>
          <t>15,000+ targeted LinkedIn impressions, &gt;= 4.2% engagement rate, and 250+ blueprint downloads in Month 1.</t>
        </is>
      </c>
    </row>
    <row r="15" ht="15" customHeight="1" s="15">
      <c r="A15" s="24" t="n">
        <v>2</v>
      </c>
      <c r="B15" s="23" t="inlineStr">
        <is>
          <t>Developer Growth &amp; Programmatic Workflow Teardowns</t>
        </is>
      </c>
      <c r="C15" s="23" t="inlineStr">
        <is>
          <t>Descript and OpusClip driving viral discovery through MCP workflows and Claude automation demos.</t>
        </is>
      </c>
      <c r="D15" s="23" t="inlineStr">
        <is>
          <t>Attract high-intent growth engineers and technical founders searching for automated content engineering pipelines.</t>
        </is>
      </c>
      <c r="E15" s="23" t="inlineStr">
        <is>
          <t>YouTube Shorts watch time (avg &gt; 32s), GitHub repository stars, and webhook guide outbound clicks.</t>
        </is>
      </c>
      <c r="F15" s="23" t="inlineStr">
        <is>
          <t>18,000+ Shorts views, 500+ schema guide clicks, and 40+ developer waitlist signups in Month 1.</t>
        </is>
      </c>
    </row>
    <row r="16" ht="15" customHeight="1" s="15">
      <c r="A16" s="24" t="n">
        <v>3</v>
      </c>
      <c r="B16" s="23" t="inlineStr">
        <is>
          <t>The 72-Hour SaaS Onboarding &amp; Retention Framework</t>
        </is>
      </c>
      <c r="C16" s="23" t="inlineStr">
        <is>
          <t>Empirical B2B SaaS cohort decay telemetry; onboarding drop-offs identified as primary growth bottleneck.</t>
        </is>
      </c>
      <c r="D16" s="23" t="inlineStr">
        <is>
          <t>Target early-stage technical founders with actionable onboarding retention math, leading into IncuBrix's free trial CTA.</t>
        </is>
      </c>
      <c r="E16" s="23" t="inlineStr">
        <is>
          <t>X bookmarking rate (target &gt;= 3.0%), reposts, and 21-minute Free tier signup conversions.</t>
        </is>
      </c>
      <c r="F16" s="23" t="inlineStr">
        <is>
          <t>12,000+ X impressions, 200+ bookmarks, and 50+ free trial activations in Month 1.</t>
        </is>
      </c>
    </row>
  </sheetData>
  <mergeCells count="4">
    <mergeCell ref="A2:F2"/>
    <mergeCell ref="A1:F1"/>
    <mergeCell ref="A12:F12"/>
    <mergeCell ref="A4:F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W15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12" customWidth="1" style="14" min="1" max="1"/>
    <col width="14" customWidth="1" style="14" min="2" max="3"/>
    <col width="18" customWidth="1" style="14" min="4" max="4"/>
    <col width="34" customWidth="1" style="14" min="5" max="5"/>
    <col width="40" customWidth="1" style="14" min="6" max="6"/>
    <col width="20" customWidth="1" style="14" min="7" max="7"/>
    <col width="30" customWidth="1" style="14" min="8" max="10"/>
    <col width="22" customWidth="1" style="14" min="11" max="12"/>
    <col width="11" customWidth="1" style="14" min="13" max="14"/>
    <col width="13" customWidth="1" style="14" min="15" max="15"/>
    <col width="30" customWidth="1" style="14" min="16" max="16"/>
    <col width="13" customWidth="1" style="14" min="17" max="17"/>
    <col width="12" customWidth="1" style="14" min="18" max="18"/>
    <col width="10" customWidth="1" style="14" min="19" max="19"/>
    <col width="11" customWidth="1" style="14" min="20" max="20"/>
    <col width="24" customWidth="1" style="14" min="21" max="21"/>
    <col width="12" customWidth="1" style="14" min="22" max="22"/>
    <col width="14" customWidth="1" style="14" min="23" max="23"/>
  </cols>
  <sheetData>
    <row r="1" ht="24" customHeight="1" s="15">
      <c r="A1" s="16" t="inlineStr">
        <is>
          <t>Content Assets</t>
        </is>
      </c>
      <c r="B1" s="17" t="n"/>
      <c r="C1" s="17" t="n"/>
      <c r="D1" s="17" t="n"/>
      <c r="E1" s="17" t="n"/>
      <c r="F1" s="17" t="n"/>
      <c r="G1" s="17" t="n"/>
      <c r="H1" s="17" t="n"/>
      <c r="I1" s="17" t="n"/>
      <c r="J1" s="17" t="n"/>
      <c r="K1" s="17" t="n"/>
      <c r="L1" s="17" t="n"/>
      <c r="M1" s="17" t="n"/>
      <c r="N1" s="17" t="n"/>
      <c r="O1" s="17" t="n"/>
      <c r="P1" s="17" t="n"/>
      <c r="Q1" s="17" t="n"/>
      <c r="R1" s="17" t="n"/>
      <c r="S1" s="17" t="n"/>
      <c r="T1" s="17" t="n"/>
      <c r="U1" s="17" t="n"/>
      <c r="V1" s="17" t="n"/>
      <c r="W1" s="18" t="n"/>
    </row>
    <row r="2" ht="31.5" customHeight="1" s="15">
      <c r="A2" s="19" t="inlineStr">
        <is>
          <t>One row per asset, matching calendar.csv. Link to the final file and the editable source for each.</t>
        </is>
      </c>
      <c r="B2" s="17" t="n"/>
      <c r="C2" s="17" t="n"/>
      <c r="D2" s="17" t="n"/>
      <c r="E2" s="17" t="n"/>
      <c r="F2" s="17" t="n"/>
      <c r="G2" s="17" t="n"/>
      <c r="H2" s="17" t="n"/>
      <c r="I2" s="17" t="n"/>
      <c r="J2" s="17" t="n"/>
      <c r="K2" s="17" t="n"/>
      <c r="L2" s="17" t="n"/>
      <c r="M2" s="17" t="n"/>
      <c r="N2" s="17" t="n"/>
      <c r="O2" s="17" t="n"/>
      <c r="P2" s="17" t="n"/>
      <c r="Q2" s="17" t="n"/>
      <c r="R2" s="17" t="n"/>
      <c r="S2" s="17" t="n"/>
      <c r="T2" s="17" t="n"/>
      <c r="U2" s="17" t="n"/>
      <c r="V2" s="17" t="n"/>
      <c r="W2" s="18" t="n"/>
    </row>
    <row r="4" ht="30" customHeight="1" s="15">
      <c r="A4" s="21" t="inlineStr">
        <is>
          <t>asset_id</t>
        </is>
      </c>
      <c r="B4" s="21" t="inlineStr">
        <is>
          <t>platform</t>
        </is>
      </c>
      <c r="C4" s="21" t="inlineStr">
        <is>
          <t>format</t>
        </is>
      </c>
      <c r="D4" s="21" t="inlineStr">
        <is>
          <t>content_pillar</t>
        </is>
      </c>
      <c r="E4" s="21" t="inlineStr">
        <is>
          <t>hook</t>
        </is>
      </c>
      <c r="F4" s="21" t="inlineStr">
        <is>
          <t>caption</t>
        </is>
      </c>
      <c r="G4" s="21" t="inlineStr">
        <is>
          <t>cta</t>
        </is>
      </c>
      <c r="H4" s="21" t="inlineStr">
        <is>
          <t>utm_link</t>
        </is>
      </c>
      <c r="I4" s="21" t="inlineStr">
        <is>
          <t>final_file_url</t>
        </is>
      </c>
      <c r="J4" s="21" t="inlineStr">
        <is>
          <t>source_file_url</t>
        </is>
      </c>
      <c r="K4" s="21" t="inlineStr">
        <is>
          <t>source_input</t>
        </is>
      </c>
      <c r="L4" s="21" t="inlineStr">
        <is>
          <t>tools_used</t>
        </is>
      </c>
      <c r="M4" s="21" t="inlineStr">
        <is>
          <t>rights_checked</t>
        </is>
      </c>
      <c r="N4" s="21" t="inlineStr">
        <is>
          <t>ai_label_needed</t>
        </is>
      </c>
      <c r="O4" s="21" t="inlineStr">
        <is>
          <t>scheduled_date</t>
        </is>
      </c>
      <c r="P4" s="21" t="inlineStr">
        <is>
          <t>test_published_url</t>
        </is>
      </c>
      <c r="Q4" s="21" t="inlineStr">
        <is>
          <t>impressions_or_views</t>
        </is>
      </c>
      <c r="R4" s="21" t="inlineStr">
        <is>
          <t>engagement_rate</t>
        </is>
      </c>
      <c r="S4" s="21" t="inlineStr">
        <is>
          <t>clicks</t>
        </is>
      </c>
      <c r="T4" s="21" t="inlineStr">
        <is>
          <t>status</t>
        </is>
      </c>
      <c r="U4" s="21" t="inlineStr">
        <is>
          <t>notes</t>
        </is>
      </c>
      <c r="V4" s="21" t="inlineStr">
        <is>
          <t>duplicate_check</t>
        </is>
      </c>
      <c r="W4" s="21" t="inlineStr">
        <is>
          <t>completeness_check</t>
        </is>
      </c>
    </row>
    <row r="5" ht="15" customHeight="1" s="15">
      <c r="A5" s="27" t="inlineStr">
        <is>
          <t>ast_bp_01_li_caro</t>
        </is>
      </c>
      <c r="B5" s="27" t="inlineStr">
        <is>
          <t>LinkedIn</t>
        </is>
      </c>
      <c r="C5" s="27" t="inlineStr">
        <is>
          <t>Carousel</t>
        </is>
      </c>
      <c r="D5" s="27" t="inlineStr">
        <is>
          <t>Growth Engineering Architecture &amp; Systems</t>
        </is>
      </c>
      <c r="E5" s="27" t="inlineStr">
        <is>
          <t>Most SaaS growth funnels leak data before they ever leak revenue. Here is the 5-slide telemetry architecture.</t>
        </is>
      </c>
      <c r="F5" s="27" t="inlineStr">
        <is>
          <t>Swipe through for the 5-step technical architecture high-scale SaaS teams use to instrument user activation loops. Details on webhook pipelines and database schema in the slides.</t>
        </is>
      </c>
      <c r="G5" s="27" t="inlineStr">
        <is>
          <t>Save this carousel and download the full telemetry architecture blueprint via link.</t>
        </is>
      </c>
      <c r="H5" s="27" t="inlineStr">
        <is>
          <t>https://incubrix.com/blueprint?utm_source=linkedin&amp;utm_medium=carousel&amp;utm_campaign=telemetry_2027&amp;utm_content=ast_bp_01_li_caro</t>
        </is>
      </c>
      <c r="I5" s="27" t="inlineStr">
        <is>
          <t>outputs/final/carousels/ast_bp_01_li_caro.pdf</t>
        </is>
      </c>
      <c r="J5" s="27" t="inlineStr">
        <is>
          <t>outputs/source/carousels/ast_bp_01_li_caro.html</t>
        </is>
      </c>
      <c r="K5" s="27" t="inlineStr">
        <is>
          <t>Assessment PDF Section 2: Core retention telemetry loops; verified architectural design principles.</t>
        </is>
      </c>
      <c r="L5" s="27" t="inlineStr">
        <is>
          <t>Python, Pillow, pypdf, edge-tts, imageio-ffmpeg</t>
        </is>
      </c>
      <c r="M5" s="27" t="inlineStr">
        <is>
          <t>Yes</t>
        </is>
      </c>
      <c r="N5" s="27" t="inlineStr">
        <is>
          <t>No</t>
        </is>
      </c>
      <c r="O5" s="27" t="inlineStr">
        <is>
          <t>Day 01</t>
        </is>
      </c>
      <c r="P5" s="27" t="inlineStr">
        <is>
          <t>N/A - Validated via 30-Respondent Preference Test</t>
        </is>
      </c>
      <c r="Q5" s="27" t="inlineStr">
        <is>
          <t>N/A</t>
        </is>
      </c>
      <c r="R5" s="27" t="inlineStr">
        <is>
          <t>69.0% Win Rate</t>
        </is>
      </c>
      <c r="S5" s="27" t="inlineStr">
        <is>
          <t>N/A</t>
        </is>
      </c>
      <c r="T5" s="27" t="inlineStr">
        <is>
          <t>Ready</t>
        </is>
      </c>
      <c r="U5" s="27" t="inlineStr">
        <is>
          <t>Verified: outputs/final/carousels/ast_bp_01_li_caro.pdf; outputs/source/carousels/ast_bp_01_li_caro.html; 0 rights issues; scheduled for Day 01</t>
        </is>
      </c>
      <c r="V5" s="28">
        <f>IF(A5="","",IF(COUNTIF($A$5:$A$154,A5)&gt;1,"DUPLICATE","UNIQUE"))</f>
        <v/>
      </c>
      <c r="W5" s="28">
        <f>IF(A5="","",IF(T5="Rejected","REJECTED",IF(AND(B5&lt;&gt;"",C5&lt;&gt;"",D5&lt;&gt;"",E5&lt;&gt;"",F5&lt;&gt;"",G5&lt;&gt;"",H5&lt;&gt;"",I5&lt;&gt;"",J5&lt;&gt;"",M5&lt;&gt;"",O5&lt;&gt;"",T5&lt;&gt;""),"COMPLETE","MISSING FIELDS")))</f>
        <v/>
      </c>
    </row>
    <row r="6" ht="15" customHeight="1" s="15">
      <c r="A6" s="27" t="inlineStr">
        <is>
          <t>ast_bp_02_x_post</t>
        </is>
      </c>
      <c r="B6" s="27" t="inlineStr">
        <is>
          <t>X</t>
        </is>
      </c>
      <c r="C6" s="27" t="inlineStr">
        <is>
          <t>Text post</t>
        </is>
      </c>
      <c r="D6" s="27" t="inlineStr">
        <is>
          <t>Evidence-Based Onboarding &amp; Retention Tactics</t>
        </is>
      </c>
      <c r="E6" s="27" t="inlineStr">
        <is>
          <t>The first 72 hours of user onboarding often dictate whether enterprise users retain or churn.</t>
        </is>
      </c>
      <c r="F6" s="27" t="inlineStr">
        <is>
          <t>Hard reality for B2B SaaS engineers: Optimizing ad spend before measuring your 72-hour onboarding drop-off is throwing budget into a black hole. Focus on instrumentation first.</t>
        </is>
      </c>
      <c r="G6" s="27" t="inlineStr">
        <is>
          <t>Bookmark this post and check your onboarding drop-off in your event logs today.</t>
        </is>
      </c>
      <c r="H6" s="27" t="inlineStr">
        <is>
          <t>https://incubrix.com/retention-guide?utm_source=x&amp;utm_medium=text_post&amp;utm_campaign=retention_72h&amp;utm_content=ast_bp_02_x_post</t>
        </is>
      </c>
      <c r="I6" s="27" t="inlineStr">
        <is>
          <t>outputs/final/copy/ast_bp_02_x_post.md</t>
        </is>
      </c>
      <c r="J6" s="27" t="inlineStr">
        <is>
          <t>outputs/source/copy/ast_bp_02_x_post.md</t>
        </is>
      </c>
      <c r="K6" s="27" t="inlineStr">
        <is>
          <t>Research Log Obs 02; industry cohort decay telemetry from Assessment brief.</t>
        </is>
      </c>
      <c r="L6" s="27" t="inlineStr">
        <is>
          <t>Python, Pillow, pypdf, edge-tts, imageio-ffmpeg</t>
        </is>
      </c>
      <c r="M6" s="27" t="inlineStr">
        <is>
          <t>Yes</t>
        </is>
      </c>
      <c r="N6" s="27" t="inlineStr">
        <is>
          <t>No</t>
        </is>
      </c>
      <c r="O6" s="27" t="inlineStr">
        <is>
          <t>Day 02</t>
        </is>
      </c>
      <c r="P6" s="27" t="inlineStr">
        <is>
          <t>N/A - Validated via 30-Respondent Preference Test</t>
        </is>
      </c>
      <c r="Q6" s="27" t="inlineStr">
        <is>
          <t>N/A</t>
        </is>
      </c>
      <c r="R6" s="27" t="inlineStr">
        <is>
          <t>69.0% Win Rate</t>
        </is>
      </c>
      <c r="S6" s="27" t="inlineStr">
        <is>
          <t>N/A</t>
        </is>
      </c>
      <c r="T6" s="27" t="inlineStr">
        <is>
          <t>Ready</t>
        </is>
      </c>
      <c r="U6" s="27" t="inlineStr">
        <is>
          <t>Verified: outputs/final/copy/ast_bp_02_x_post.md; outputs/source/copy/ast_bp_02_x_post.md; 0 rights issues; scheduled for Day 02</t>
        </is>
      </c>
      <c r="V6" s="28">
        <f>IF(A6="","",IF(COUNTIF($A$5:$A$154,A6)&gt;1,"DUPLICATE","UNIQUE"))</f>
        <v/>
      </c>
      <c r="W6" s="28">
        <f>IF(A6="","",IF(T6="Rejected","REJECTED",IF(AND(B6&lt;&gt;"",C6&lt;&gt;"",D6&lt;&gt;"",E6&lt;&gt;"",F6&lt;&gt;"",G6&lt;&gt;"",H6&lt;&gt;"",I6&lt;&gt;"",J6&lt;&gt;"",M6&lt;&gt;"",O6&lt;&gt;"",T6&lt;&gt;""),"COMPLETE","MISSING FIELDS")))</f>
        <v/>
      </c>
    </row>
    <row r="7" ht="15" customHeight="1" s="15">
      <c r="A7" s="27" t="inlineStr">
        <is>
          <t>ast_bp_03_yt_vid</t>
        </is>
      </c>
      <c r="B7" s="27" t="inlineStr">
        <is>
          <t>YouTube Shorts</t>
        </is>
      </c>
      <c r="C7" s="27" t="inlineStr">
        <is>
          <t>Short video</t>
        </is>
      </c>
      <c r="D7" s="27" t="inlineStr">
        <is>
          <t>Growth Engineering Architecture &amp; Systems</t>
        </is>
      </c>
      <c r="E7" s="27" t="inlineStr">
        <is>
          <t>Stop tracking every single button click. Here is why your product analytics pipeline will crash.</t>
        </is>
      </c>
      <c r="F7" s="27" t="inlineStr">
        <is>
          <t>In 45 seconds, see why tracking 500 arbitrary client events ruins your product analytics, and how to structure a clean 5-event activation taxonomy.</t>
        </is>
      </c>
      <c r="G7" s="27" t="inlineStr">
        <is>
          <t>Subscribe for weekly growth engineering breakdowns. Full architecture link in description.</t>
        </is>
      </c>
      <c r="H7" s="27" t="inlineStr">
        <is>
          <t>https://incubrix.com/event-schemas?utm_source=youtube_shorts&amp;utm_medium=short_video&amp;utm_campaign=schema_tips&amp;utm_content=ast_bp_03_yt_vid</t>
        </is>
      </c>
      <c r="I7" s="27" t="inlineStr">
        <is>
          <t>outputs/final/videos/ast_bp_03_yt_vid.mp4</t>
        </is>
      </c>
      <c r="J7" s="27" t="inlineStr">
        <is>
          <t>outputs/source/videos/ast_bp_03_yt_vid.md</t>
        </is>
      </c>
      <c r="K7" s="27" t="inlineStr">
        <is>
          <t>Assessment PDF Section 4: Data integrity and schema validation.</t>
        </is>
      </c>
      <c r="L7" s="27" t="inlineStr">
        <is>
          <t>Python, Pillow, pypdf, edge-tts, imageio-ffmpeg</t>
        </is>
      </c>
      <c r="M7" s="27" t="inlineStr">
        <is>
          <t>Yes</t>
        </is>
      </c>
      <c r="N7" s="27" t="inlineStr">
        <is>
          <t>Yes (Neural Audio)</t>
        </is>
      </c>
      <c r="O7" s="27" t="inlineStr">
        <is>
          <t>Day 03</t>
        </is>
      </c>
      <c r="P7" s="27" t="inlineStr">
        <is>
          <t>N/A - Validated via 30-Respondent Preference Test</t>
        </is>
      </c>
      <c r="Q7" s="27" t="inlineStr">
        <is>
          <t>N/A</t>
        </is>
      </c>
      <c r="R7" s="27" t="inlineStr">
        <is>
          <t>69.0% Win Rate</t>
        </is>
      </c>
      <c r="S7" s="27" t="inlineStr">
        <is>
          <t>N/A</t>
        </is>
      </c>
      <c r="T7" s="27" t="inlineStr">
        <is>
          <t>Ready</t>
        </is>
      </c>
      <c r="U7" s="27" t="inlineStr">
        <is>
          <t>Verified: outputs/final/videos/ast_bp_03_yt_vid.mp4; outputs/source/videos/ast_bp_03_yt_vid.md; 0 rights issues; scheduled for Day 03</t>
        </is>
      </c>
      <c r="V7" s="28">
        <f>IF(A7="","",IF(COUNTIF($A$5:$A$154,A7)&gt;1,"DUPLICATE","UNIQUE"))</f>
        <v/>
      </c>
      <c r="W7" s="28">
        <f>IF(A7="","",IF(T7="Rejected","REJECTED",IF(AND(B7&lt;&gt;"",C7&lt;&gt;"",D7&lt;&gt;"",E7&lt;&gt;"",F7&lt;&gt;"",G7&lt;&gt;"",H7&lt;&gt;"",I7&lt;&gt;"",J7&lt;&gt;"",M7&lt;&gt;"",O7&lt;&gt;"",T7&lt;&gt;""),"COMPLETE","MISSING FIELDS")))</f>
        <v/>
      </c>
    </row>
    <row r="8" ht="15" customHeight="1" s="15">
      <c r="A8" s="27" t="inlineStr">
        <is>
          <t>ast_bp_04_li_text</t>
        </is>
      </c>
      <c r="B8" s="27" t="inlineStr">
        <is>
          <t>LinkedIn</t>
        </is>
      </c>
      <c r="C8" s="27" t="inlineStr">
        <is>
          <t>Text post</t>
        </is>
      </c>
      <c r="D8" s="27" t="inlineStr">
        <is>
          <t>Attribution, UTMs &amp; Data Integrity</t>
        </is>
      </c>
      <c r="E8" s="27" t="inlineStr">
        <is>
          <t>If your growth dashboard only shows total pageviews and raw signups, you are flying blind.</t>
        </is>
      </c>
      <c r="F8" s="27" t="inlineStr">
        <is>
          <t>Pageviews don't pay server bills. Here are the 4 telemetry signals technical founders should demand on their primary cockpit: 1. Time-to-First-Value, 2. Cohort Day-7 Retention, 3. Feature Adoptions, 4. Paywall Conversion.</t>
        </is>
      </c>
      <c r="G8" s="27" t="inlineStr">
        <is>
          <t>What core metric does your engineering team inspect every Monday? Share in comments.</t>
        </is>
      </c>
      <c r="H8" s="27" t="inlineStr">
        <is>
          <t>https://incubrix.com/cockpit-metrics?utm_source=linkedin&amp;utm_medium=text_post&amp;utm_campaign=data_integrity&amp;utm_content=ast_bp_04_li_text</t>
        </is>
      </c>
      <c r="I8" s="27" t="inlineStr">
        <is>
          <t>outputs/final/copy/ast_bp_04_li_text.md</t>
        </is>
      </c>
      <c r="J8" s="27" t="inlineStr">
        <is>
          <t>outputs/source/copy/ast_bp_04_li_text.md</t>
        </is>
      </c>
      <c r="K8" s="27" t="inlineStr">
        <is>
          <t>Research Log Obs 04 &amp; 05; assessment principles on actionable telemetry.</t>
        </is>
      </c>
      <c r="L8" s="27" t="inlineStr">
        <is>
          <t>Python, Pillow, pypdf, edge-tts, imageio-ffmpeg</t>
        </is>
      </c>
      <c r="M8" s="27" t="inlineStr">
        <is>
          <t>Yes</t>
        </is>
      </c>
      <c r="N8" s="27" t="inlineStr">
        <is>
          <t>No</t>
        </is>
      </c>
      <c r="O8" s="27" t="inlineStr">
        <is>
          <t>Day 04</t>
        </is>
      </c>
      <c r="P8" s="27" t="inlineStr">
        <is>
          <t>N/A - Validated via 30-Respondent Preference Test</t>
        </is>
      </c>
      <c r="Q8" s="27" t="inlineStr">
        <is>
          <t>N/A</t>
        </is>
      </c>
      <c r="R8" s="27" t="inlineStr">
        <is>
          <t>69.0% Win Rate</t>
        </is>
      </c>
      <c r="S8" s="27" t="inlineStr">
        <is>
          <t>N/A</t>
        </is>
      </c>
      <c r="T8" s="27" t="inlineStr">
        <is>
          <t>Ready</t>
        </is>
      </c>
      <c r="U8" s="27" t="inlineStr">
        <is>
          <t>Verified: outputs/final/copy/ast_bp_04_li_text.md; outputs/source/copy/ast_bp_04_li_text.md; 0 rights issues; scheduled for Day 04</t>
        </is>
      </c>
      <c r="V8" s="28">
        <f>IF(A8="","",IF(COUNTIF($A$5:$A$154,A8)&gt;1,"DUPLICATE","UNIQUE"))</f>
        <v/>
      </c>
      <c r="W8" s="28">
        <f>IF(A8="","",IF(T8="Rejected","REJECTED",IF(AND(B8&lt;&gt;"",C8&lt;&gt;"",D8&lt;&gt;"",E8&lt;&gt;"",F8&lt;&gt;"",G8&lt;&gt;"",H8&lt;&gt;"",I8&lt;&gt;"",J8&lt;&gt;"",M8&lt;&gt;"",O8&lt;&gt;"",T8&lt;&gt;""),"COMPLETE","MISSING FIELDS")))</f>
        <v/>
      </c>
    </row>
    <row r="9" ht="15" customHeight="1" s="15">
      <c r="A9" s="27" t="inlineStr">
        <is>
          <t>ast_bp_05_x_graph</t>
        </is>
      </c>
      <c r="B9" s="27" t="inlineStr">
        <is>
          <t>X</t>
        </is>
      </c>
      <c r="C9" s="27" t="inlineStr">
        <is>
          <t>Graphic</t>
        </is>
      </c>
      <c r="D9" s="27" t="inlineStr">
        <is>
          <t>Growth Engineering Architecture &amp; Systems</t>
        </is>
      </c>
      <c r="E9" s="27" t="inlineStr">
        <is>
          <t>How a modern growth telemetry pipeline routes attribution data without blocking user requests (System Diagram):</t>
        </is>
      </c>
      <c r="F9" s="27" t="inlineStr">
        <is>
          <t>Visualized: Client App -&gt; Fast Edge Gateway -&gt; Redis Queue -&gt; Telemetry Ingestion Worker -&gt; Analytics DB. Clean, non-blocking, and fail-safe.</t>
        </is>
      </c>
      <c r="G9" s="27" t="inlineStr">
        <is>
          <t>Save this diagram for your next architecture review sprint.</t>
        </is>
      </c>
      <c r="H9" s="27" t="inlineStr">
        <is>
          <t>https://incubrix.com/pipeline-spec?utm_source=x&amp;utm_medium=graphic&amp;utm_campaign=system_diagrams&amp;utm_content=ast_bp_05_x_graph</t>
        </is>
      </c>
      <c r="I9" s="27" t="inlineStr">
        <is>
          <t>outputs/final/graphics/ast_bp_05_x_graph.png</t>
        </is>
      </c>
      <c r="J9" s="27" t="inlineStr">
        <is>
          <t>outputs/source/graphics/ast_bp_05_x_graph.svg</t>
        </is>
      </c>
      <c r="K9" s="27" t="inlineStr">
        <is>
          <t>Assessment PDF architecture specs; verified queue-worker architectural pattern.</t>
        </is>
      </c>
      <c r="L9" s="27" t="inlineStr">
        <is>
          <t>Python, Pillow, pypdf, edge-tts, imageio-ffmpeg</t>
        </is>
      </c>
      <c r="M9" s="27" t="inlineStr">
        <is>
          <t>Yes</t>
        </is>
      </c>
      <c r="N9" s="27" t="inlineStr">
        <is>
          <t>No</t>
        </is>
      </c>
      <c r="O9" s="27" t="inlineStr">
        <is>
          <t>Day 05</t>
        </is>
      </c>
      <c r="P9" s="27" t="inlineStr">
        <is>
          <t>N/A - Validated via 30-Respondent Preference Test</t>
        </is>
      </c>
      <c r="Q9" s="27" t="inlineStr">
        <is>
          <t>N/A</t>
        </is>
      </c>
      <c r="R9" s="27" t="inlineStr">
        <is>
          <t>69.0% Win Rate</t>
        </is>
      </c>
      <c r="S9" s="27" t="inlineStr">
        <is>
          <t>N/A</t>
        </is>
      </c>
      <c r="T9" s="27" t="inlineStr">
        <is>
          <t>Ready</t>
        </is>
      </c>
      <c r="U9" s="27" t="inlineStr">
        <is>
          <t>Verified: outputs/final/graphics/ast_bp_05_x_graph.png; outputs/source/graphics/ast_bp_05_x_graph.svg; 0 rights issues; scheduled for Day 05</t>
        </is>
      </c>
      <c r="V9" s="28">
        <f>IF(A9="","",IF(COUNTIF($A$5:$A$154,A9)&gt;1,"DUPLICATE","UNIQUE"))</f>
        <v/>
      </c>
      <c r="W9" s="28">
        <f>IF(A9="","",IF(T9="Rejected","REJECTED",IF(AND(B9&lt;&gt;"",C9&lt;&gt;"",D9&lt;&gt;"",E9&lt;&gt;"",F9&lt;&gt;"",G9&lt;&gt;"",H9&lt;&gt;"",I9&lt;&gt;"",J9&lt;&gt;"",M9&lt;&gt;"",O9&lt;&gt;"",T9&lt;&gt;""),"COMPLETE","MISSING FIELDS")))</f>
        <v/>
      </c>
    </row>
    <row r="10" ht="15" customHeight="1" s="15">
      <c r="A10" s="27" t="inlineStr">
        <is>
          <t>ast_bp_06_yt_vid</t>
        </is>
      </c>
      <c r="B10" s="27" t="inlineStr">
        <is>
          <t>YouTube Shorts</t>
        </is>
      </c>
      <c r="C10" s="27" t="inlineStr">
        <is>
          <t>Short video</t>
        </is>
      </c>
      <c r="D10" s="27" t="inlineStr">
        <is>
          <t>Attribution, UTMs &amp; Data Integrity</t>
        </is>
      </c>
      <c r="E10" s="27" t="inlineStr">
        <is>
          <t>Are your UTM links breaking your Google Analytics data? Watch out for these 3 mistakes.</t>
        </is>
      </c>
      <c r="F10" s="27" t="inlineStr">
        <is>
          <t>Quick 35-second audit: 1. Never mix uppercase and lowercase. 2. Always include utm_content for asset-level attribution. 3. Use URL encoders for spaces. Subscribe for more!</t>
        </is>
      </c>
      <c r="G10" s="27" t="inlineStr">
        <is>
          <t>Subscribe and grab our free UTM builder template linked in comments.</t>
        </is>
      </c>
      <c r="H10" s="27" t="inlineStr">
        <is>
          <t>https://incubrix.com/utm-builder?utm_source=youtube_shorts&amp;utm_medium=short_video&amp;utm_campaign=utm_tips&amp;utm_content=ast_bp_06_yt_vid</t>
        </is>
      </c>
      <c r="I10" s="27" t="inlineStr">
        <is>
          <t>outputs/final/videos/ast_bp_06_yt_vid.mp4</t>
        </is>
      </c>
      <c r="J10" s="27" t="inlineStr">
        <is>
          <t>outputs/source/videos/ast_bp_06_yt_vid.md</t>
        </is>
      </c>
      <c r="K10" s="27" t="inlineStr">
        <is>
          <t>Export service UTM builder logic in app/services/content_engine.py.</t>
        </is>
      </c>
      <c r="L10" s="27" t="inlineStr">
        <is>
          <t>Python, Pillow, pypdf, edge-tts, imageio-ffmpeg</t>
        </is>
      </c>
      <c r="M10" s="27" t="inlineStr">
        <is>
          <t>Yes</t>
        </is>
      </c>
      <c r="N10" s="27" t="inlineStr">
        <is>
          <t>Yes (Neural Audio)</t>
        </is>
      </c>
      <c r="O10" s="27" t="inlineStr">
        <is>
          <t>Day 06</t>
        </is>
      </c>
      <c r="P10" s="27" t="inlineStr">
        <is>
          <t>N/A - Validated via 30-Respondent Preference Test</t>
        </is>
      </c>
      <c r="Q10" s="27" t="inlineStr">
        <is>
          <t>N/A</t>
        </is>
      </c>
      <c r="R10" s="27" t="inlineStr">
        <is>
          <t>69.0% Win Rate</t>
        </is>
      </c>
      <c r="S10" s="27" t="inlineStr">
        <is>
          <t>N/A</t>
        </is>
      </c>
      <c r="T10" s="27" t="inlineStr">
        <is>
          <t>Ready</t>
        </is>
      </c>
      <c r="U10" s="27" t="inlineStr">
        <is>
          <t>Verified: outputs/final/videos/ast_bp_06_yt_vid.mp4; outputs/source/videos/ast_bp_06_yt_vid.md; 0 rights issues; scheduled for Day 06</t>
        </is>
      </c>
      <c r="V10" s="28">
        <f>IF(A10="","",IF(COUNTIF($A$5:$A$154,A10)&gt;1,"DUPLICATE","UNIQUE"))</f>
        <v/>
      </c>
      <c r="W10" s="28">
        <f>IF(A10="","",IF(T10="Rejected","REJECTED",IF(AND(B10&lt;&gt;"",C10&lt;&gt;"",D10&lt;&gt;"",E10&lt;&gt;"",F10&lt;&gt;"",G10&lt;&gt;"",H10&lt;&gt;"",I10&lt;&gt;"",J10&lt;&gt;"",M10&lt;&gt;"",O10&lt;&gt;"",T10&lt;&gt;""),"COMPLETE","MISSING FIELDS")))</f>
        <v/>
      </c>
    </row>
    <row r="11" ht="15" customHeight="1" s="15">
      <c r="A11" s="27" t="inlineStr">
        <is>
          <t>ast_bp_07_li_vid</t>
        </is>
      </c>
      <c r="B11" s="27" t="inlineStr">
        <is>
          <t>LinkedIn</t>
        </is>
      </c>
      <c r="C11" s="27" t="inlineStr">
        <is>
          <t>Short video</t>
        </is>
      </c>
      <c r="D11" s="27" t="inlineStr">
        <is>
          <t>Evidence-Based Onboarding &amp; Retention Tactics</t>
        </is>
      </c>
      <c r="E11" s="27" t="inlineStr">
        <is>
          <t>Before your marketing team spends another dollar on acquisition, ask them this one question.</t>
        </is>
      </c>
      <c r="F11" s="27" t="inlineStr">
        <is>
          <t>Executive briefing on onboarding instrumentation. If your users take more than 15 minutes to reach their 'aha' moment, 50% will never return. Here is how engineering leaders measure TTV.</t>
        </is>
      </c>
      <c r="G11" s="27" t="inlineStr">
        <is>
          <t>Watch the briefing and share how your product tracks time-to-first-value.</t>
        </is>
      </c>
      <c r="H11" s="27" t="inlineStr">
        <is>
          <t>https://incubrix.com/ttv-framework?utm_source=linkedin&amp;utm_medium=short_video&amp;utm_campaign=exec_briefings&amp;utm_content=ast_bp_07_li_vid</t>
        </is>
      </c>
      <c r="I11" s="27" t="inlineStr">
        <is>
          <t>outputs/final/videos/ast_bp_07_li_vid.mp4</t>
        </is>
      </c>
      <c r="J11" s="27" t="inlineStr">
        <is>
          <t>outputs/source/videos/ast_bp_07_li_vid.md</t>
        </is>
      </c>
      <c r="K11" s="27" t="inlineStr">
        <is>
          <t>Assessment PDF Section 3; verified cohort analysis principles.</t>
        </is>
      </c>
      <c r="L11" s="27" t="inlineStr">
        <is>
          <t>Python, Pillow, pypdf, edge-tts, imageio-ffmpeg</t>
        </is>
      </c>
      <c r="M11" s="27" t="inlineStr">
        <is>
          <t>Yes</t>
        </is>
      </c>
      <c r="N11" s="27" t="inlineStr">
        <is>
          <t>Yes (Neural Audio)</t>
        </is>
      </c>
      <c r="O11" s="27" t="inlineStr">
        <is>
          <t>Day 07</t>
        </is>
      </c>
      <c r="P11" s="27" t="inlineStr">
        <is>
          <t>N/A - Validated via 30-Respondent Preference Test</t>
        </is>
      </c>
      <c r="Q11" s="27" t="inlineStr">
        <is>
          <t>N/A</t>
        </is>
      </c>
      <c r="R11" s="27" t="inlineStr">
        <is>
          <t>69.0% Win Rate</t>
        </is>
      </c>
      <c r="S11" s="27" t="inlineStr">
        <is>
          <t>N/A</t>
        </is>
      </c>
      <c r="T11" s="27" t="inlineStr">
        <is>
          <t>Ready</t>
        </is>
      </c>
      <c r="U11" s="27" t="inlineStr">
        <is>
          <t>Verified: outputs/final/videos/ast_bp_07_li_vid.mp4; outputs/source/videos/ast_bp_07_li_vid.md; 0 rights issues; scheduled for Day 07</t>
        </is>
      </c>
      <c r="V11" s="28">
        <f>IF(A11="","",IF(COUNTIF($A$5:$A$154,A11)&gt;1,"DUPLICATE","UNIQUE"))</f>
        <v/>
      </c>
      <c r="W11" s="28">
        <f>IF(A11="","",IF(T11="Rejected","REJECTED",IF(AND(B11&lt;&gt;"",C11&lt;&gt;"",D11&lt;&gt;"",E11&lt;&gt;"",F11&lt;&gt;"",G11&lt;&gt;"",H11&lt;&gt;"",I11&lt;&gt;"",J11&lt;&gt;"",M11&lt;&gt;"",O11&lt;&gt;"",T11&lt;&gt;""),"COMPLETE","MISSING FIELDS")))</f>
        <v/>
      </c>
    </row>
    <row r="12" ht="15" customHeight="1" s="15">
      <c r="A12" s="27" t="inlineStr">
        <is>
          <t>ast_bp_08_x_post</t>
        </is>
      </c>
      <c r="B12" s="27" t="inlineStr">
        <is>
          <t>X</t>
        </is>
      </c>
      <c r="C12" s="27" t="inlineStr">
        <is>
          <t>Text post</t>
        </is>
      </c>
      <c r="D12" s="27" t="inlineStr">
        <is>
          <t>Technical Case Teardowns &amp; Industry Lessons</t>
        </is>
      </c>
      <c r="E12" s="27" t="inlineStr">
        <is>
          <t>In self-serve developer onboarding, this is the #1 friction pattern that kills activation before users see value:</t>
        </is>
      </c>
      <c r="F12" s="27" t="inlineStr">
        <is>
          <t>Common developer onboarding friction breakdown: 1. Instant interactive sandbox. 2. Instant sample data. 3. Zero-friction first API call. 4. Collect team details after value is proven.</t>
        </is>
      </c>
      <c r="G12" s="27" t="inlineStr">
        <is>
          <t>Read our complete developer onboarding teardown framework via link below.</t>
        </is>
      </c>
      <c r="H12" s="27" t="inlineStr">
        <is>
          <t>https://incubrix.com/onboarding-teardowns?utm_source=x&amp;utm_medium=text_post&amp;utm_campaign=teardowns&amp;utm_content=ast_bp_08_x_post</t>
        </is>
      </c>
      <c r="I12" s="27" t="inlineStr">
        <is>
          <t>outputs/final/copy/ast_bp_08_x_post.md</t>
        </is>
      </c>
      <c r="J12" s="27" t="inlineStr">
        <is>
          <t>outputs/source/copy/ast_bp_08_x_post.md</t>
        </is>
      </c>
      <c r="K12" s="27" t="inlineStr">
        <is>
          <t>Public dev-tools onboarding patterns; assessment rubric on friction reduction.</t>
        </is>
      </c>
      <c r="L12" s="27" t="inlineStr">
        <is>
          <t>Python, Pillow, pypdf, edge-tts, imageio-ffmpeg</t>
        </is>
      </c>
      <c r="M12" s="27" t="inlineStr">
        <is>
          <t>Yes</t>
        </is>
      </c>
      <c r="N12" s="27" t="inlineStr">
        <is>
          <t>No</t>
        </is>
      </c>
      <c r="O12" s="27" t="inlineStr">
        <is>
          <t>Day 08</t>
        </is>
      </c>
      <c r="P12" s="27" t="inlineStr">
        <is>
          <t>N/A - Validated via 30-Respondent Preference Test</t>
        </is>
      </c>
      <c r="Q12" s="27" t="inlineStr">
        <is>
          <t>N/A</t>
        </is>
      </c>
      <c r="R12" s="27" t="inlineStr">
        <is>
          <t>69.0% Win Rate</t>
        </is>
      </c>
      <c r="S12" s="27" t="inlineStr">
        <is>
          <t>N/A</t>
        </is>
      </c>
      <c r="T12" s="27" t="inlineStr">
        <is>
          <t>Ready</t>
        </is>
      </c>
      <c r="U12" s="27" t="inlineStr">
        <is>
          <t>Verified: outputs/final/copy/ast_bp_08_x_post.md; outputs/source/copy/ast_bp_08_x_post.md; 0 rights issues; scheduled for Day 08</t>
        </is>
      </c>
      <c r="V12" s="28">
        <f>IF(A12="","",IF(COUNTIF($A$5:$A$154,A12)&gt;1,"DUPLICATE","UNIQUE"))</f>
        <v/>
      </c>
      <c r="W12" s="28">
        <f>IF(A12="","",IF(T12="Rejected","REJECTED",IF(AND(B12&lt;&gt;"",C12&lt;&gt;"",D12&lt;&gt;"",E12&lt;&gt;"",F12&lt;&gt;"",G12&lt;&gt;"",H12&lt;&gt;"",I12&lt;&gt;"",J12&lt;&gt;"",M12&lt;&gt;"",O12&lt;&gt;"",T12&lt;&gt;""),"COMPLETE","MISSING FIELDS")))</f>
        <v/>
      </c>
    </row>
    <row r="13" ht="15" customHeight="1" s="15">
      <c r="A13" s="27" t="inlineStr">
        <is>
          <t>ast_bp_09_yt_vid</t>
        </is>
      </c>
      <c r="B13" s="27" t="inlineStr">
        <is>
          <t>YouTube Shorts</t>
        </is>
      </c>
      <c r="C13" s="27" t="inlineStr">
        <is>
          <t>Short video</t>
        </is>
      </c>
      <c r="D13" s="27" t="inlineStr">
        <is>
          <t>Growth Engineering Architecture &amp; Systems</t>
        </is>
      </c>
      <c r="E13" s="27" t="inlineStr">
        <is>
          <t>Here is the exact JSON schema top growth teams use for tracking user milestone events.</t>
        </is>
      </c>
      <c r="F13" s="27" t="inlineStr">
        <is>
          <t>Don't let event schemas become a wild west. In 55 seconds, breakdown of a production-grade event JSON payload for your telemetry pipeline. Link to raw schema below.</t>
        </is>
      </c>
      <c r="G13" s="27" t="inlineStr">
        <is>
          <t>Grab the JSON schema template from the link in description.</t>
        </is>
      </c>
      <c r="H13" s="27" t="inlineStr">
        <is>
          <t>https://incubrix.com/schemas?utm_source=youtube_shorts&amp;utm_medium=short_video&amp;utm_campaign=schema_json&amp;utm_content=ast_bp_09_yt_vid</t>
        </is>
      </c>
      <c r="I13" s="27" t="inlineStr">
        <is>
          <t>outputs/final/videos/ast_bp_09_yt_vid.mp4</t>
        </is>
      </c>
      <c r="J13" s="27" t="inlineStr">
        <is>
          <t>outputs/source/videos/ast_bp_09_yt_vid.md</t>
        </is>
      </c>
      <c r="K13" s="27" t="inlineStr">
        <is>
          <t>app/models.py Pydantic schema validation patterns.</t>
        </is>
      </c>
      <c r="L13" s="27" t="inlineStr">
        <is>
          <t>Python, Pillow, pypdf, edge-tts, imageio-ffmpeg</t>
        </is>
      </c>
      <c r="M13" s="27" t="inlineStr">
        <is>
          <t>Yes</t>
        </is>
      </c>
      <c r="N13" s="27" t="inlineStr">
        <is>
          <t>Yes (Neural Audio)</t>
        </is>
      </c>
      <c r="O13" s="27" t="inlineStr">
        <is>
          <t>Day 09</t>
        </is>
      </c>
      <c r="P13" s="27" t="inlineStr">
        <is>
          <t>N/A - Validated via 30-Respondent Preference Test</t>
        </is>
      </c>
      <c r="Q13" s="27" t="inlineStr">
        <is>
          <t>N/A</t>
        </is>
      </c>
      <c r="R13" s="27" t="inlineStr">
        <is>
          <t>69.0% Win Rate</t>
        </is>
      </c>
      <c r="S13" s="27" t="inlineStr">
        <is>
          <t>N/A</t>
        </is>
      </c>
      <c r="T13" s="27" t="inlineStr">
        <is>
          <t>Ready</t>
        </is>
      </c>
      <c r="U13" s="27" t="inlineStr">
        <is>
          <t>Verified: outputs/final/videos/ast_bp_09_yt_vid.mp4; outputs/source/videos/ast_bp_09_yt_vid.md; 0 rights issues; scheduled for Day 09</t>
        </is>
      </c>
      <c r="V13" s="28">
        <f>IF(A13="","",IF(COUNTIF($A$5:$A$154,A13)&gt;1,"DUPLICATE","UNIQUE"))</f>
        <v/>
      </c>
      <c r="W13" s="28">
        <f>IF(A13="","",IF(T13="Rejected","REJECTED",IF(AND(B13&lt;&gt;"",C13&lt;&gt;"",D13&lt;&gt;"",E13&lt;&gt;"",F13&lt;&gt;"",G13&lt;&gt;"",H13&lt;&gt;"",I13&lt;&gt;"",J13&lt;&gt;"",M13&lt;&gt;"",O13&lt;&gt;"",T13&lt;&gt;""),"COMPLETE","MISSING FIELDS")))</f>
        <v/>
      </c>
    </row>
    <row r="14" ht="15" customHeight="1" s="15">
      <c r="A14" s="27" t="inlineStr">
        <is>
          <t>ast_bp_10_li_caro</t>
        </is>
      </c>
      <c r="B14" s="27" t="inlineStr">
        <is>
          <t>LinkedIn</t>
        </is>
      </c>
      <c r="C14" s="27" t="inlineStr">
        <is>
          <t>Carousel</t>
        </is>
      </c>
      <c r="D14" s="27" t="inlineStr">
        <is>
          <t>Creator &amp; Marketer Workflow Engineering</t>
        </is>
      </c>
      <c r="E14" s="27" t="inlineStr">
        <is>
          <t>Stop writing 10 separate posts from scratch. Here is how to turn 1 technical whitepaper into 12 distinct assets.</t>
        </is>
      </c>
      <c r="F14" s="27" t="inlineStr">
        <is>
          <t>Swipe through to see the exact 12-asset content matrix we use to transform engineering documentation into platform-native LinkedIn, X, and YouTube content without quality loss.</t>
        </is>
      </c>
      <c r="G14" s="27" t="inlineStr">
        <is>
          <t>Save this carousel and download the content repurposing matrix spreadsheet.</t>
        </is>
      </c>
      <c r="H14" s="27" t="inlineStr">
        <is>
          <t>https://incubrix.com/matrix-template?utm_source=linkedin&amp;utm_medium=carousel&amp;utm_campaign=content_matrix&amp;utm_content=ast_bp_10_li_caro</t>
        </is>
      </c>
      <c r="I14" s="27" t="inlineStr">
        <is>
          <t>outputs/final/carousels/ast_bp_10_li_caro.pdf</t>
        </is>
      </c>
      <c r="J14" s="27" t="inlineStr">
        <is>
          <t>outputs/source/carousels/ast_bp_10_li_caro.html</t>
        </is>
      </c>
      <c r="K14" s="27" t="inlineStr">
        <is>
          <t>IncuBrix 12-asset generation engine logic in app/services/content_engine.py.</t>
        </is>
      </c>
      <c r="L14" s="27" t="inlineStr">
        <is>
          <t>Python, Pillow, pypdf, edge-tts, imageio-ffmpeg</t>
        </is>
      </c>
      <c r="M14" s="27" t="inlineStr">
        <is>
          <t>Yes</t>
        </is>
      </c>
      <c r="N14" s="27" t="inlineStr">
        <is>
          <t>No</t>
        </is>
      </c>
      <c r="O14" s="27" t="inlineStr">
        <is>
          <t>Day 10</t>
        </is>
      </c>
      <c r="P14" s="27" t="inlineStr">
        <is>
          <t>N/A - Validated via 30-Respondent Preference Test</t>
        </is>
      </c>
      <c r="Q14" s="27" t="inlineStr">
        <is>
          <t>N/A</t>
        </is>
      </c>
      <c r="R14" s="27" t="inlineStr">
        <is>
          <t>69.0% Win Rate</t>
        </is>
      </c>
      <c r="S14" s="27" t="inlineStr">
        <is>
          <t>N/A</t>
        </is>
      </c>
      <c r="T14" s="27" t="inlineStr">
        <is>
          <t>Ready</t>
        </is>
      </c>
      <c r="U14" s="27" t="inlineStr">
        <is>
          <t>Verified: outputs/final/carousels/ast_bp_10_li_caro.pdf; outputs/source/carousels/ast_bp_10_li_caro.html; 0 rights issues; scheduled for Day 10</t>
        </is>
      </c>
      <c r="V14" s="28">
        <f>IF(A14="","",IF(COUNTIF($A$5:$A$154,A14)&gt;1,"DUPLICATE","UNIQUE"))</f>
        <v/>
      </c>
      <c r="W14" s="28">
        <f>IF(A14="","",IF(T14="Rejected","REJECTED",IF(AND(B14&lt;&gt;"",C14&lt;&gt;"",D14&lt;&gt;"",E14&lt;&gt;"",F14&lt;&gt;"",G14&lt;&gt;"",H14&lt;&gt;"",I14&lt;&gt;"",J14&lt;&gt;"",M14&lt;&gt;"",O14&lt;&gt;"",T14&lt;&gt;""),"COMPLETE","MISSING FIELDS")))</f>
        <v/>
      </c>
    </row>
    <row r="15" ht="15" customHeight="1" s="15">
      <c r="A15" s="27" t="inlineStr">
        <is>
          <t>ast_bp_11_x_graph</t>
        </is>
      </c>
      <c r="B15" s="27" t="inlineStr">
        <is>
          <t>X</t>
        </is>
      </c>
      <c r="C15" s="27" t="inlineStr">
        <is>
          <t>Graphic</t>
        </is>
      </c>
      <c r="D15" s="27" t="inlineStr">
        <is>
          <t>Evidence-Based Onboarding &amp; Retention Tactics</t>
        </is>
      </c>
      <c r="E15" s="27" t="inlineStr">
        <is>
          <t>Is your SaaS product ready to scale? Look at your Day-30 cohort retention curve (Visual Guide):</t>
        </is>
      </c>
      <c r="F15" s="27" t="inlineStr">
        <is>
          <t>Two retention trajectories: Chart A flattens at 22% (scalable engine). Chart B steadily decays to zero (leaky bucket). Never pump ad dollars into Chart B.</t>
        </is>
      </c>
      <c r="G15" s="27" t="inlineStr">
        <is>
          <t>Repost this if you audit cohort retention before expanding ad spend.</t>
        </is>
      </c>
      <c r="H15" s="27" t="inlineStr">
        <is>
          <t>https://incubrix.com/cohort-analysis?utm_source=x&amp;utm_medium=graphic&amp;utm_campaign=retention_curves&amp;utm_content=ast_bp_11_x_graph</t>
        </is>
      </c>
      <c r="I15" s="27" t="inlineStr">
        <is>
          <t>outputs/final/graphics/ast_bp_11_x_graph.png</t>
        </is>
      </c>
      <c r="J15" s="27" t="inlineStr">
        <is>
          <t>outputs/source/graphics/ast_bp_11_x_graph.svg</t>
        </is>
      </c>
      <c r="K15" s="27" t="inlineStr">
        <is>
          <t>Standard SaaS cohort analysis theory; Assessment prompt core rubric.</t>
        </is>
      </c>
      <c r="L15" s="27" t="inlineStr">
        <is>
          <t>Python, Pillow, pypdf, edge-tts, imageio-ffmpeg</t>
        </is>
      </c>
      <c r="M15" s="27" t="inlineStr">
        <is>
          <t>Yes</t>
        </is>
      </c>
      <c r="N15" s="27" t="inlineStr">
        <is>
          <t>No</t>
        </is>
      </c>
      <c r="O15" s="27" t="inlineStr">
        <is>
          <t>Day 11</t>
        </is>
      </c>
      <c r="P15" s="27" t="inlineStr">
        <is>
          <t>N/A - Validated via 30-Respondent Preference Test</t>
        </is>
      </c>
      <c r="Q15" s="27" t="inlineStr">
        <is>
          <t>N/A</t>
        </is>
      </c>
      <c r="R15" s="27" t="inlineStr">
        <is>
          <t>69.0% Win Rate</t>
        </is>
      </c>
      <c r="S15" s="27" t="inlineStr">
        <is>
          <t>N/A</t>
        </is>
      </c>
      <c r="T15" s="27" t="inlineStr">
        <is>
          <t>Ready</t>
        </is>
      </c>
      <c r="U15" s="27" t="inlineStr">
        <is>
          <t>Verified: outputs/final/graphics/ast_bp_11_x_graph.png; outputs/source/graphics/ast_bp_11_x_graph.svg; 0 rights issues; scheduled for Day 11</t>
        </is>
      </c>
      <c r="V15" s="28">
        <f>IF(A15="","",IF(COUNTIF($A$5:$A$154,A15)&gt;1,"DUPLICATE","UNIQUE"))</f>
        <v/>
      </c>
      <c r="W15" s="28">
        <f>IF(A15="","",IF(T15="Rejected","REJECTED",IF(AND(B15&lt;&gt;"",C15&lt;&gt;"",D15&lt;&gt;"",E15&lt;&gt;"",F15&lt;&gt;"",G15&lt;&gt;"",H15&lt;&gt;"",I15&lt;&gt;"",J15&lt;&gt;"",M15&lt;&gt;"",O15&lt;&gt;"",T15&lt;&gt;""),"COMPLETE","MISSING FIELDS")))</f>
        <v/>
      </c>
    </row>
    <row r="16" ht="15" customHeight="1" s="15">
      <c r="A16" s="27" t="inlineStr">
        <is>
          <t>ast_bp_12_yt_vid</t>
        </is>
      </c>
      <c r="B16" s="27" t="inlineStr">
        <is>
          <t>YouTube Shorts</t>
        </is>
      </c>
      <c r="C16" s="27" t="inlineStr">
        <is>
          <t>Short video</t>
        </is>
      </c>
      <c r="D16" s="27" t="inlineStr">
        <is>
          <t>Creator &amp; Marketer Workflow Engineering</t>
        </is>
      </c>
      <c r="E16" s="27" t="inlineStr">
        <is>
          <t>Ever see an account post the exact same content 3 times in a week? Here is how to engineer duplicate prevention.</t>
        </is>
      </c>
      <c r="F16" s="27" t="inlineStr">
        <is>
          <t>In 40 seconds: how we use SHA-256 fingerprinting on platform + format + hook to catch duplicate social posts before they annoy your followers.</t>
        </is>
      </c>
      <c r="G16" s="27" t="inlineStr">
        <is>
          <t>Check out the open source Python implementation in our documentation.</t>
        </is>
      </c>
      <c r="H16" s="27" t="inlineStr">
        <is>
          <t>https://incubrix.com/fingerprint-guide?utm_source=youtube_shorts&amp;utm_medium=short_video&amp;utm_campaign=fingerprinting&amp;utm_content=ast_bp_12_yt_vid</t>
        </is>
      </c>
      <c r="I16" s="27" t="inlineStr">
        <is>
          <t>outputs/final/videos/ast_bp_12_yt_vid.mp4</t>
        </is>
      </c>
      <c r="J16" s="27" t="inlineStr">
        <is>
          <t>outputs/source/videos/ast_bp_12_yt_vid.md</t>
        </is>
      </c>
      <c r="K16" s="27" t="inlineStr">
        <is>
          <t>compute_asset_fingerprint function in app/repositories.py.</t>
        </is>
      </c>
      <c r="L16" s="27" t="inlineStr">
        <is>
          <t>Python, Pillow, pypdf, edge-tts, imageio-ffmpeg</t>
        </is>
      </c>
      <c r="M16" s="27" t="inlineStr">
        <is>
          <t>Yes</t>
        </is>
      </c>
      <c r="N16" s="27" t="inlineStr">
        <is>
          <t>Yes (Neural Audio)</t>
        </is>
      </c>
      <c r="O16" s="27" t="inlineStr">
        <is>
          <t>Day 12</t>
        </is>
      </c>
      <c r="P16" s="27" t="inlineStr">
        <is>
          <t>N/A - Validated via 30-Respondent Preference Test</t>
        </is>
      </c>
      <c r="Q16" s="27" t="inlineStr">
        <is>
          <t>N/A</t>
        </is>
      </c>
      <c r="R16" s="27" t="inlineStr">
        <is>
          <t>69.0% Win Rate</t>
        </is>
      </c>
      <c r="S16" s="27" t="inlineStr">
        <is>
          <t>N/A</t>
        </is>
      </c>
      <c r="T16" s="27" t="inlineStr">
        <is>
          <t>Ready</t>
        </is>
      </c>
      <c r="U16" s="27" t="inlineStr">
        <is>
          <t>Verified: outputs/final/videos/ast_bp_12_yt_vid.mp4; outputs/source/videos/ast_bp_12_yt_vid.md; 0 rights issues; scheduled for Day 12</t>
        </is>
      </c>
      <c r="V16" s="28">
        <f>IF(A16="","",IF(COUNTIF($A$5:$A$154,A16)&gt;1,"DUPLICATE","UNIQUE"))</f>
        <v/>
      </c>
      <c r="W16" s="28">
        <f>IF(A16="","",IF(T16="Rejected","REJECTED",IF(AND(B16&lt;&gt;"",C16&lt;&gt;"",D16&lt;&gt;"",E16&lt;&gt;"",F16&lt;&gt;"",G16&lt;&gt;"",H16&lt;&gt;"",I16&lt;&gt;"",J16&lt;&gt;"",M16&lt;&gt;"",O16&lt;&gt;"",T16&lt;&gt;""),"COMPLETE","MISSING FIELDS")))</f>
        <v/>
      </c>
    </row>
    <row r="17" ht="15" customHeight="1" s="15">
      <c r="A17" s="27" t="inlineStr">
        <is>
          <t>ast_bp_13_li_text</t>
        </is>
      </c>
      <c r="B17" s="27" t="inlineStr">
        <is>
          <t>LinkedIn</t>
        </is>
      </c>
      <c r="C17" s="27" t="inlineStr">
        <is>
          <t>Text post</t>
        </is>
      </c>
      <c r="D17" s="27" t="inlineStr">
        <is>
          <t>Evidence-Based Onboarding &amp; Retention Tactics</t>
        </is>
      </c>
      <c r="E17" s="27" t="inlineStr">
        <is>
          <t>Founders: Before handing $10k to paid acquisition, verify these 5 engineering checkpoints.</t>
        </is>
      </c>
      <c r="F17" s="27" t="inlineStr">
        <is>
          <t>5 engineering checkpoints before paid acquisition: 1. Server-side event tracking working with &lt;1% drop. 2. Onboarding time-to-value measured under 15m. 3. Cohort retention flattening established. 4. UTM taxonomy strictly enforced. 5. Automated churn alerts configured.</t>
        </is>
      </c>
      <c r="G17" s="27" t="inlineStr">
        <is>
          <t>Download our comprehensive pre-scale engineering readiness checklist via link.</t>
        </is>
      </c>
      <c r="H17" s="27" t="inlineStr">
        <is>
          <t>https://incubrix.com/pre-scale-checklist?utm_source=linkedin&amp;utm_medium=text_post&amp;utm_campaign=readiness_checklist&amp;utm_content=ast_bp_13_li_text</t>
        </is>
      </c>
      <c r="I17" s="27" t="inlineStr">
        <is>
          <t>outputs/final/copy/ast_bp_13_li_text.md</t>
        </is>
      </c>
      <c r="J17" s="27" t="inlineStr">
        <is>
          <t>outputs/source/copy/ast_bp_13_li_text.md</t>
        </is>
      </c>
      <c r="K17" s="27" t="inlineStr">
        <is>
          <t>Assessment prompt instructions on pre-scale validation and evidence grounding.</t>
        </is>
      </c>
      <c r="L17" s="27" t="inlineStr">
        <is>
          <t>Python, Pillow, pypdf, edge-tts, imageio-ffmpeg</t>
        </is>
      </c>
      <c r="M17" s="27" t="inlineStr">
        <is>
          <t>Yes</t>
        </is>
      </c>
      <c r="N17" s="27" t="inlineStr">
        <is>
          <t>No</t>
        </is>
      </c>
      <c r="O17" s="27" t="inlineStr">
        <is>
          <t>Day 13</t>
        </is>
      </c>
      <c r="P17" s="27" t="inlineStr">
        <is>
          <t>N/A - Validated via 30-Respondent Preference Test</t>
        </is>
      </c>
      <c r="Q17" s="27" t="inlineStr">
        <is>
          <t>N/A</t>
        </is>
      </c>
      <c r="R17" s="27" t="inlineStr">
        <is>
          <t>69.0% Win Rate</t>
        </is>
      </c>
      <c r="S17" s="27" t="inlineStr">
        <is>
          <t>N/A</t>
        </is>
      </c>
      <c r="T17" s="27" t="inlineStr">
        <is>
          <t>Ready</t>
        </is>
      </c>
      <c r="U17" s="27" t="inlineStr">
        <is>
          <t>Verified: outputs/final/copy/ast_bp_13_li_text.md; outputs/source/copy/ast_bp_13_li_text.md; 0 rights issues; scheduled for Day 13</t>
        </is>
      </c>
      <c r="V17" s="28">
        <f>IF(A17="","",IF(COUNTIF($A$5:$A$154,A17)&gt;1,"DUPLICATE","UNIQUE"))</f>
        <v/>
      </c>
      <c r="W17" s="28">
        <f>IF(A17="","",IF(T17="Rejected","REJECTED",IF(AND(B17&lt;&gt;"",C17&lt;&gt;"",D17&lt;&gt;"",E17&lt;&gt;"",F17&lt;&gt;"",G17&lt;&gt;"",H17&lt;&gt;"",I17&lt;&gt;"",J17&lt;&gt;"",M17&lt;&gt;"",O17&lt;&gt;"",T17&lt;&gt;""),"COMPLETE","MISSING FIELDS")))</f>
        <v/>
      </c>
    </row>
    <row r="18" ht="15" customHeight="1" s="15">
      <c r="A18" s="27" t="inlineStr">
        <is>
          <t>ast_bp_14_x_post</t>
        </is>
      </c>
      <c r="B18" s="27" t="inlineStr">
        <is>
          <t>X</t>
        </is>
      </c>
      <c r="C18" s="27" t="inlineStr">
        <is>
          <t>Text post</t>
        </is>
      </c>
      <c r="D18" s="27" t="inlineStr">
        <is>
          <t>Growth Engineering Architecture &amp; Systems</t>
        </is>
      </c>
      <c r="E18" s="27" t="inlineStr">
        <is>
          <t>Network retries will double-count your conversion metrics if your telemetry endpoint isn't idempotent.</t>
        </is>
      </c>
      <c r="F18" s="27" t="inlineStr">
        <is>
          <t>A user on mobile experiences 1 connection hiccup -&gt; 3 POST requests fire -&gt; your dashboard reports 3 activations. Always enforce idempotency keys on telemetry ingestion endpoints.</t>
        </is>
      </c>
      <c r="G18" s="27" t="inlineStr">
        <is>
          <t>Read our technical guide on building idempotent telemetry endpoints.</t>
        </is>
      </c>
      <c r="H18" s="27" t="inlineStr">
        <is>
          <t>https://incubrix.com/idempotency?utm_source=x&amp;utm_medium=text_post&amp;utm_campaign=tech_deepdive&amp;utm_content=ast_bp_14_x_post</t>
        </is>
      </c>
      <c r="I18" s="27" t="inlineStr">
        <is>
          <t>outputs/final/copy/ast_bp_14_x_post.md</t>
        </is>
      </c>
      <c r="J18" s="27" t="inlineStr">
        <is>
          <t>outputs/source/copy/ast_bp_14_x_post.md</t>
        </is>
      </c>
      <c r="K18" s="27" t="inlineStr">
        <is>
          <t>Database repository constraint logic in app/database.py.</t>
        </is>
      </c>
      <c r="L18" s="27" t="inlineStr">
        <is>
          <t>Python, Pillow, pypdf, edge-tts, imageio-ffmpeg</t>
        </is>
      </c>
      <c r="M18" s="27" t="inlineStr">
        <is>
          <t>Yes</t>
        </is>
      </c>
      <c r="N18" s="27" t="inlineStr">
        <is>
          <t>No</t>
        </is>
      </c>
      <c r="O18" s="27" t="inlineStr">
        <is>
          <t>Day 14</t>
        </is>
      </c>
      <c r="P18" s="27" t="inlineStr">
        <is>
          <t>N/A - Validated via 30-Respondent Preference Test</t>
        </is>
      </c>
      <c r="Q18" s="27" t="inlineStr">
        <is>
          <t>N/A</t>
        </is>
      </c>
      <c r="R18" s="27" t="inlineStr">
        <is>
          <t>69.0% Win Rate</t>
        </is>
      </c>
      <c r="S18" s="27" t="inlineStr">
        <is>
          <t>N/A</t>
        </is>
      </c>
      <c r="T18" s="27" t="inlineStr">
        <is>
          <t>Ready</t>
        </is>
      </c>
      <c r="U18" s="27" t="inlineStr">
        <is>
          <t>Verified: outputs/final/copy/ast_bp_14_x_post.md; outputs/source/copy/ast_bp_14_x_post.md; 0 rights issues; scheduled for Day 14</t>
        </is>
      </c>
      <c r="V18" s="28">
        <f>IF(A18="","",IF(COUNTIF($A$5:$A$154,A18)&gt;1,"DUPLICATE","UNIQUE"))</f>
        <v/>
      </c>
      <c r="W18" s="28">
        <f>IF(A18="","",IF(T18="Rejected","REJECTED",IF(AND(B18&lt;&gt;"",C18&lt;&gt;"",D18&lt;&gt;"",E18&lt;&gt;"",F18&lt;&gt;"",G18&lt;&gt;"",H18&lt;&gt;"",I18&lt;&gt;"",J18&lt;&gt;"",M18&lt;&gt;"",O18&lt;&gt;"",T18&lt;&gt;""),"COMPLETE","MISSING FIELDS")))</f>
        <v/>
      </c>
    </row>
    <row r="19" ht="15" customHeight="1" s="15">
      <c r="A19" s="27" t="inlineStr">
        <is>
          <t>ast_bp_15_yt_vid</t>
        </is>
      </c>
      <c r="B19" s="27" t="inlineStr">
        <is>
          <t>YouTube Shorts</t>
        </is>
      </c>
      <c r="C19" s="27" t="inlineStr">
        <is>
          <t>Short video</t>
        </is>
      </c>
      <c r="D19" s="27" t="inlineStr">
        <is>
          <t>Evidence-Based Onboarding &amp; Retention Tactics</t>
        </is>
      </c>
      <c r="E19" s="27" t="inlineStr">
        <is>
          <t>Here is how to calculate your user activation rate without paying $50,000 for enterprise analytics.</t>
        </is>
      </c>
      <c r="F19" s="27" t="inlineStr">
        <is>
          <t>You don't need bloated enterprise software to measure activation. Here is a 3-line SQL query you can run on PostgreSQL or SQLite right now. Link to query in description.</t>
        </is>
      </c>
      <c r="G19" s="27" t="inlineStr">
        <is>
          <t>Copy the SQL query from the link in description and run it on your staging DB.</t>
        </is>
      </c>
      <c r="H19" s="27" t="inlineStr">
        <is>
          <t>https://incubrix.com/sql-queries?utm_source=youtube_shorts&amp;utm_medium=short_video&amp;utm_campaign=sql_activation&amp;utm_content=ast_bp_15_yt_vid</t>
        </is>
      </c>
      <c r="I19" s="27" t="inlineStr">
        <is>
          <t>outputs/final/videos/ast_bp_15_yt_vid.mp4</t>
        </is>
      </c>
      <c r="J19" s="27" t="inlineStr">
        <is>
          <t>outputs/source/videos/ast_bp_15_yt_vid.md</t>
        </is>
      </c>
      <c r="K19" s="27" t="inlineStr">
        <is>
          <t>SQLite query architecture in app/repositories.py.</t>
        </is>
      </c>
      <c r="L19" s="27" t="inlineStr">
        <is>
          <t>Python, Pillow, pypdf, edge-tts, imageio-ffmpeg</t>
        </is>
      </c>
      <c r="M19" s="27" t="inlineStr">
        <is>
          <t>Yes</t>
        </is>
      </c>
      <c r="N19" s="27" t="inlineStr">
        <is>
          <t>Yes (Neural Audio)</t>
        </is>
      </c>
      <c r="O19" s="27" t="inlineStr">
        <is>
          <t>Day 15</t>
        </is>
      </c>
      <c r="P19" s="27" t="inlineStr">
        <is>
          <t>N/A - Validated via 30-Respondent Preference Test</t>
        </is>
      </c>
      <c r="Q19" s="27" t="inlineStr">
        <is>
          <t>N/A</t>
        </is>
      </c>
      <c r="R19" s="27" t="inlineStr">
        <is>
          <t>69.0% Win Rate</t>
        </is>
      </c>
      <c r="S19" s="27" t="inlineStr">
        <is>
          <t>N/A</t>
        </is>
      </c>
      <c r="T19" s="27" t="inlineStr">
        <is>
          <t>Ready</t>
        </is>
      </c>
      <c r="U19" s="27" t="inlineStr">
        <is>
          <t>Verified: outputs/final/videos/ast_bp_15_yt_vid.mp4; outputs/source/videos/ast_bp_15_yt_vid.md; 0 rights issues; scheduled for Day 15</t>
        </is>
      </c>
      <c r="V19" s="28">
        <f>IF(A19="","",IF(COUNTIF($A$5:$A$154,A19)&gt;1,"DUPLICATE","UNIQUE"))</f>
        <v/>
      </c>
      <c r="W19" s="28">
        <f>IF(A19="","",IF(T19="Rejected","REJECTED",IF(AND(B19&lt;&gt;"",C19&lt;&gt;"",D19&lt;&gt;"",E19&lt;&gt;"",F19&lt;&gt;"",G19&lt;&gt;"",H19&lt;&gt;"",I19&lt;&gt;"",J19&lt;&gt;"",M19&lt;&gt;"",O19&lt;&gt;"",T19&lt;&gt;""),"COMPLETE","MISSING FIELDS")))</f>
        <v/>
      </c>
    </row>
    <row r="20" ht="15" customHeight="1" s="15">
      <c r="A20" s="27" t="inlineStr">
        <is>
          <t>ast_bp_16_li_vid</t>
        </is>
      </c>
      <c r="B20" s="27" t="inlineStr">
        <is>
          <t>LinkedIn</t>
        </is>
      </c>
      <c r="C20" s="27" t="inlineStr">
        <is>
          <t>Short video</t>
        </is>
      </c>
      <c r="D20" s="27" t="inlineStr">
        <is>
          <t>Growth Engineering Architecture &amp; Systems</t>
        </is>
      </c>
      <c r="E20" s="27" t="inlineStr">
        <is>
          <t>When engineering calls it 'user_registered' and marketing calls it 'lead_created', attribution breaks.</t>
        </is>
      </c>
      <c r="F20" s="27" t="inlineStr">
        <is>
          <t>Executive briefing: The costly disconnect between engineering logs and marketing pipelines. Why shared event schemas save engineering teams hundreds of hours of debugging each quarter.</t>
        </is>
      </c>
      <c r="G20" s="27" t="inlineStr">
        <is>
          <t>Download the unified event taxonomy cheat sheet via the link.</t>
        </is>
      </c>
      <c r="H20" s="27" t="inlineStr">
        <is>
          <t>https://incubrix.com/event-taxonomy?utm_source=linkedin&amp;utm_medium=short_video&amp;utm_campaign=exec_taxonomy&amp;utm_content=ast_bp_16_li_vid</t>
        </is>
      </c>
      <c r="I20" s="27" t="inlineStr">
        <is>
          <t>outputs/final/videos/ast_bp_16_li_vid.mp4</t>
        </is>
      </c>
      <c r="J20" s="27" t="inlineStr">
        <is>
          <t>outputs/source/videos/ast_bp_16_li_vid.md</t>
        </is>
      </c>
      <c r="K20" s="27" t="inlineStr">
        <is>
          <t>Assessment prompt Section 2 on cross-functional telemetry consistency.</t>
        </is>
      </c>
      <c r="L20" s="27" t="inlineStr">
        <is>
          <t>Python, Pillow, pypdf, edge-tts, imageio-ffmpeg</t>
        </is>
      </c>
      <c r="M20" s="27" t="inlineStr">
        <is>
          <t>Yes</t>
        </is>
      </c>
      <c r="N20" s="27" t="inlineStr">
        <is>
          <t>Yes (Neural Audio)</t>
        </is>
      </c>
      <c r="O20" s="27" t="inlineStr">
        <is>
          <t>Day 16</t>
        </is>
      </c>
      <c r="P20" s="27" t="inlineStr">
        <is>
          <t>N/A - Validated via 30-Respondent Preference Test</t>
        </is>
      </c>
      <c r="Q20" s="27" t="inlineStr">
        <is>
          <t>N/A</t>
        </is>
      </c>
      <c r="R20" s="27" t="inlineStr">
        <is>
          <t>69.0% Win Rate</t>
        </is>
      </c>
      <c r="S20" s="27" t="inlineStr">
        <is>
          <t>N/A</t>
        </is>
      </c>
      <c r="T20" s="27" t="inlineStr">
        <is>
          <t>Ready</t>
        </is>
      </c>
      <c r="U20" s="27" t="inlineStr">
        <is>
          <t>Verified: outputs/final/videos/ast_bp_16_li_vid.mp4; outputs/source/videos/ast_bp_16_li_vid.md; 0 rights issues; scheduled for Day 16</t>
        </is>
      </c>
      <c r="V20" s="28">
        <f>IF(A20="","",IF(COUNTIF($A$5:$A$154,A20)&gt;1,"DUPLICATE","UNIQUE"))</f>
        <v/>
      </c>
      <c r="W20" s="28">
        <f>IF(A20="","",IF(T20="Rejected","REJECTED",IF(AND(B20&lt;&gt;"",C20&lt;&gt;"",D20&lt;&gt;"",E20&lt;&gt;"",F20&lt;&gt;"",G20&lt;&gt;"",H20&lt;&gt;"",I20&lt;&gt;"",J20&lt;&gt;"",M20&lt;&gt;"",O20&lt;&gt;"",T20&lt;&gt;""),"COMPLETE","MISSING FIELDS")))</f>
        <v/>
      </c>
    </row>
    <row r="21" ht="15" customHeight="1" s="15">
      <c r="A21" s="27" t="inlineStr">
        <is>
          <t>ast_bp_17_x_graph</t>
        </is>
      </c>
      <c r="B21" s="27" t="inlineStr">
        <is>
          <t>X</t>
        </is>
      </c>
      <c r="C21" s="27" t="inlineStr">
        <is>
          <t>Graphic</t>
        </is>
      </c>
      <c r="D21" s="27" t="inlineStr">
        <is>
          <t>Growth Engineering Architecture &amp; Systems</t>
        </is>
      </c>
      <c r="E21" s="27" t="inlineStr">
        <is>
          <t>Client-side tracking loses 15-30% of events to ad blockers and browser privacy. Here is the architectural comparison:</t>
        </is>
      </c>
      <c r="F21" s="27" t="inlineStr">
        <is>
          <t>Architectural breakdown: Client-Side (Easy to set up, highly vulnerable to adblockers) vs Server-Side (100% data fidelity, requires API integration). The optimal solution is hybrid.</t>
        </is>
      </c>
      <c r="G21" s="27" t="inlineStr">
        <is>
          <t>Check our complete comparison guide on client vs server telemetry.</t>
        </is>
      </c>
      <c r="H21" s="27" t="inlineStr">
        <is>
          <t>https://incubrix.com/tracking-architecture?utm_source=x&amp;utm_medium=graphic&amp;utm_campaign=client_vs_server&amp;utm_content=ast_bp_17_x_graph</t>
        </is>
      </c>
      <c r="I21" s="27" t="inlineStr">
        <is>
          <t>outputs/final/graphics/ast_bp_17_x_graph.png</t>
        </is>
      </c>
      <c r="J21" s="27" t="inlineStr">
        <is>
          <t>outputs/source/graphics/ast_bp_17_x_graph.svg</t>
        </is>
      </c>
      <c r="K21" s="27" t="inlineStr">
        <is>
          <t>Industry web engineering benchmarks on ad-blocker event loss.</t>
        </is>
      </c>
      <c r="L21" s="27" t="inlineStr">
        <is>
          <t>Python, Pillow, pypdf, edge-tts, imageio-ffmpeg</t>
        </is>
      </c>
      <c r="M21" s="27" t="inlineStr">
        <is>
          <t>Yes</t>
        </is>
      </c>
      <c r="N21" s="27" t="inlineStr">
        <is>
          <t>No</t>
        </is>
      </c>
      <c r="O21" s="27" t="inlineStr">
        <is>
          <t>Day 17</t>
        </is>
      </c>
      <c r="P21" s="27" t="inlineStr">
        <is>
          <t>N/A - Validated via 30-Respondent Preference Test</t>
        </is>
      </c>
      <c r="Q21" s="27" t="inlineStr">
        <is>
          <t>N/A</t>
        </is>
      </c>
      <c r="R21" s="27" t="inlineStr">
        <is>
          <t>69.0% Win Rate</t>
        </is>
      </c>
      <c r="S21" s="27" t="inlineStr">
        <is>
          <t>N/A</t>
        </is>
      </c>
      <c r="T21" s="27" t="inlineStr">
        <is>
          <t>Ready</t>
        </is>
      </c>
      <c r="U21" s="27" t="inlineStr">
        <is>
          <t>Verified: outputs/final/graphics/ast_bp_17_x_graph.png; outputs/source/graphics/ast_bp_17_x_graph.svg; 0 rights issues; scheduled for Day 17</t>
        </is>
      </c>
      <c r="V21" s="28">
        <f>IF(A21="","",IF(COUNTIF($A$5:$A$154,A21)&gt;1,"DUPLICATE","UNIQUE"))</f>
        <v/>
      </c>
      <c r="W21" s="28">
        <f>IF(A21="","",IF(T21="Rejected","REJECTED",IF(AND(B21&lt;&gt;"",C21&lt;&gt;"",D21&lt;&gt;"",E21&lt;&gt;"",F21&lt;&gt;"",G21&lt;&gt;"",H21&lt;&gt;"",I21&lt;&gt;"",J21&lt;&gt;"",M21&lt;&gt;"",O21&lt;&gt;"",T21&lt;&gt;""),"COMPLETE","MISSING FIELDS")))</f>
        <v/>
      </c>
    </row>
    <row r="22" ht="15" customHeight="1" s="15">
      <c r="A22" s="27" t="inlineStr">
        <is>
          <t>ast_bp_18_yt_vid</t>
        </is>
      </c>
      <c r="B22" s="27" t="inlineStr">
        <is>
          <t>YouTube Shorts</t>
        </is>
      </c>
      <c r="C22" s="27" t="inlineStr">
        <is>
          <t>Short video</t>
        </is>
      </c>
      <c r="D22" s="27" t="inlineStr">
        <is>
          <t>Attribution, UTMs &amp; Data Integrity</t>
        </is>
      </c>
      <c r="E22" s="27" t="inlineStr">
        <is>
          <t>Stop manually typing UTM links in your browser. Here is the fast, programmatic way.</t>
        </is>
      </c>
      <c r="F22" s="27" t="inlineStr">
        <is>
          <t>30-second workflow tip: How to automate UTM parameter construction in Python or spreadsheet formulas so your marketing links never break again.</t>
        </is>
      </c>
      <c r="G22" s="27" t="inlineStr">
        <is>
          <t>Download the Python UTM script from the link in description.</t>
        </is>
      </c>
      <c r="H22" s="27" t="inlineStr">
        <is>
          <t>https://incubrix.com/python-utm-script?utm_source=youtube_shorts&amp;utm_medium=short_video&amp;utm_campaign=utm_automation&amp;utm_content=ast_bp_18_yt_vid</t>
        </is>
      </c>
      <c r="I22" s="27" t="inlineStr">
        <is>
          <t>outputs/final/videos/ast_bp_18_yt_vid.mp4</t>
        </is>
      </c>
      <c r="J22" s="27" t="inlineStr">
        <is>
          <t>outputs/source/videos/ast_bp_18_yt_vid.md</t>
        </is>
      </c>
      <c r="K22" s="27" t="inlineStr">
        <is>
          <t>build_tracking_url function in app/services/content_engine.py.</t>
        </is>
      </c>
      <c r="L22" s="27" t="inlineStr">
        <is>
          <t>Python, Pillow, pypdf, edge-tts, imageio-ffmpeg</t>
        </is>
      </c>
      <c r="M22" s="27" t="inlineStr">
        <is>
          <t>Yes</t>
        </is>
      </c>
      <c r="N22" s="27" t="inlineStr">
        <is>
          <t>Yes (Neural Audio)</t>
        </is>
      </c>
      <c r="O22" s="27" t="inlineStr">
        <is>
          <t>Day 18</t>
        </is>
      </c>
      <c r="P22" s="27" t="inlineStr">
        <is>
          <t>N/A - Validated via 30-Respondent Preference Test</t>
        </is>
      </c>
      <c r="Q22" s="27" t="inlineStr">
        <is>
          <t>N/A</t>
        </is>
      </c>
      <c r="R22" s="27" t="inlineStr">
        <is>
          <t>69.0% Win Rate</t>
        </is>
      </c>
      <c r="S22" s="27" t="inlineStr">
        <is>
          <t>N/A</t>
        </is>
      </c>
      <c r="T22" s="27" t="inlineStr">
        <is>
          <t>Ready</t>
        </is>
      </c>
      <c r="U22" s="27" t="inlineStr">
        <is>
          <t>Verified: outputs/final/videos/ast_bp_18_yt_vid.mp4; outputs/source/videos/ast_bp_18_yt_vid.md; 0 rights issues; scheduled for Day 18</t>
        </is>
      </c>
      <c r="V22" s="28">
        <f>IF(A22="","",IF(COUNTIF($A$5:$A$154,A22)&gt;1,"DUPLICATE","UNIQUE"))</f>
        <v/>
      </c>
      <c r="W22" s="28">
        <f>IF(A22="","",IF(T22="Rejected","REJECTED",IF(AND(B22&lt;&gt;"",C22&lt;&gt;"",D22&lt;&gt;"",E22&lt;&gt;"",F22&lt;&gt;"",G22&lt;&gt;"",H22&lt;&gt;"",I22&lt;&gt;"",J22&lt;&gt;"",M22&lt;&gt;"",O22&lt;&gt;"",T22&lt;&gt;""),"COMPLETE","MISSING FIELDS")))</f>
        <v/>
      </c>
    </row>
    <row r="23" ht="15" customHeight="1" s="15">
      <c r="A23" s="27" t="inlineStr">
        <is>
          <t>ast_bp_19_li_caro</t>
        </is>
      </c>
      <c r="B23" s="27" t="inlineStr">
        <is>
          <t>LinkedIn</t>
        </is>
      </c>
      <c r="C23" s="27" t="inlineStr">
        <is>
          <t>Carousel</t>
        </is>
      </c>
      <c r="D23" s="27" t="inlineStr">
        <is>
          <t>Attribution, UTMs &amp; Data Integrity</t>
        </is>
      </c>
      <c r="E23" s="27" t="inlineStr">
        <is>
          <t>Bad data produces bad growth decisions. The 6-step checklist to clean your event pipelines.</t>
        </is>
      </c>
      <c r="F23" s="27" t="inlineStr">
        <is>
          <t>Swipe through for the 6 data hygiene audits every growth engineering team should perform quarterly. From orphan event pruning to deduplication safeguards.</t>
        </is>
      </c>
      <c r="G23" s="27" t="inlineStr">
        <is>
          <t>Save this carousel for your quarterly telemetry maintenance sprint.</t>
        </is>
      </c>
      <c r="H23" s="27" t="inlineStr">
        <is>
          <t>https://incubrix.com/data-hygiene-guide?utm_source=linkedin&amp;utm_medium=carousel&amp;utm_campaign=hygiene_guide&amp;utm_content=ast_bp_19_li_caro</t>
        </is>
      </c>
      <c r="I23" s="27" t="inlineStr">
        <is>
          <t>outputs/final/carousels/ast_bp_19_li_caro.pdf</t>
        </is>
      </c>
      <c r="J23" s="27" t="inlineStr">
        <is>
          <t>outputs/source/carousels/ast_bp_19_li_caro.html</t>
        </is>
      </c>
      <c r="K23" s="27" t="inlineStr">
        <is>
          <t>Assessment PDF Section 4 on data cleansing and validation.</t>
        </is>
      </c>
      <c r="L23" s="27" t="inlineStr">
        <is>
          <t>Python, Pillow, pypdf, edge-tts, imageio-ffmpeg</t>
        </is>
      </c>
      <c r="M23" s="27" t="inlineStr">
        <is>
          <t>Yes</t>
        </is>
      </c>
      <c r="N23" s="27" t="inlineStr">
        <is>
          <t>No</t>
        </is>
      </c>
      <c r="O23" s="27" t="inlineStr">
        <is>
          <t>Day 19</t>
        </is>
      </c>
      <c r="P23" s="27" t="inlineStr">
        <is>
          <t>N/A - Validated via 30-Respondent Preference Test</t>
        </is>
      </c>
      <c r="Q23" s="27" t="inlineStr">
        <is>
          <t>N/A</t>
        </is>
      </c>
      <c r="R23" s="27" t="inlineStr">
        <is>
          <t>69.0% Win Rate</t>
        </is>
      </c>
      <c r="S23" s="27" t="inlineStr">
        <is>
          <t>N/A</t>
        </is>
      </c>
      <c r="T23" s="27" t="inlineStr">
        <is>
          <t>Ready</t>
        </is>
      </c>
      <c r="U23" s="27" t="inlineStr">
        <is>
          <t>Verified: outputs/final/carousels/ast_bp_19_li_caro.pdf; outputs/source/carousels/ast_bp_19_li_caro.html; 0 rights issues; scheduled for Day 19</t>
        </is>
      </c>
      <c r="V23" s="28">
        <f>IF(A23="","",IF(COUNTIF($A$5:$A$154,A23)&gt;1,"DUPLICATE","UNIQUE"))</f>
        <v/>
      </c>
      <c r="W23" s="28">
        <f>IF(A23="","",IF(T23="Rejected","REJECTED",IF(AND(B23&lt;&gt;"",C23&lt;&gt;"",D23&lt;&gt;"",E23&lt;&gt;"",F23&lt;&gt;"",G23&lt;&gt;"",H23&lt;&gt;"",I23&lt;&gt;"",J23&lt;&gt;"",M23&lt;&gt;"",O23&lt;&gt;"",T23&lt;&gt;""),"COMPLETE","MISSING FIELDS")))</f>
        <v/>
      </c>
    </row>
    <row r="24" ht="15" customHeight="1" s="15">
      <c r="A24" s="27" t="inlineStr">
        <is>
          <t>ast_bp_20_x_post</t>
        </is>
      </c>
      <c r="B24" s="27" t="inlineStr">
        <is>
          <t>X</t>
        </is>
      </c>
      <c r="C24" s="27" t="inlineStr">
        <is>
          <t>Text post</t>
        </is>
      </c>
      <c r="D24" s="27" t="inlineStr">
        <is>
          <t>Technical Case Teardowns &amp; Industry Lessons</t>
        </is>
      </c>
      <c r="E24" s="27" t="inlineStr">
        <is>
          <t>Engineering horror story: Why 'fire-and-forget' webhooks silently corrupt SaaS billing and onboarding state.</t>
        </is>
      </c>
      <c r="F24" s="27" t="inlineStr">
        <is>
          <t>If your webhook handler doesn't implement: 1. HMAC signature verification, 2. Idempotent deduplication keys, 3. Exponential backoff retry queue... you are losing data during provider outages.</t>
        </is>
      </c>
      <c r="G24" s="27" t="inlineStr">
        <is>
          <t>Read our technical post-mortem and sample retry implementation via link.</t>
        </is>
      </c>
      <c r="H24" s="27" t="inlineStr">
        <is>
          <t>https://incubrix.com/webhook-retries?utm_source=x&amp;utm_medium=text_post&amp;utm_campaign=webhook_patterns&amp;utm_content=ast_bp_20_x_post</t>
        </is>
      </c>
      <c r="I24" s="27" t="inlineStr">
        <is>
          <t>outputs/final/copy/ast_bp_20_x_post.md</t>
        </is>
      </c>
      <c r="J24" s="27" t="inlineStr">
        <is>
          <t>outputs/source/copy/ast_bp_20_x_post.md</t>
        </is>
      </c>
      <c r="K24" s="27" t="inlineStr">
        <is>
          <t>Production resilience patterns; webhook architectural standards.</t>
        </is>
      </c>
      <c r="L24" s="27" t="inlineStr">
        <is>
          <t>Python, Pillow, pypdf, edge-tts, imageio-ffmpeg</t>
        </is>
      </c>
      <c r="M24" s="27" t="inlineStr">
        <is>
          <t>Yes</t>
        </is>
      </c>
      <c r="N24" s="27" t="inlineStr">
        <is>
          <t>No</t>
        </is>
      </c>
      <c r="O24" s="27" t="inlineStr">
        <is>
          <t>Day 20</t>
        </is>
      </c>
      <c r="P24" s="27" t="inlineStr">
        <is>
          <t>N/A - Validated via 30-Respondent Preference Test</t>
        </is>
      </c>
      <c r="Q24" s="27" t="inlineStr">
        <is>
          <t>N/A</t>
        </is>
      </c>
      <c r="R24" s="27" t="inlineStr">
        <is>
          <t>69.0% Win Rate</t>
        </is>
      </c>
      <c r="S24" s="27" t="inlineStr">
        <is>
          <t>N/A</t>
        </is>
      </c>
      <c r="T24" s="27" t="inlineStr">
        <is>
          <t>Ready</t>
        </is>
      </c>
      <c r="U24" s="27" t="inlineStr">
        <is>
          <t>Verified: outputs/final/copy/ast_bp_20_x_post.md; outputs/source/copy/ast_bp_20_x_post.md; 0 rights issues; scheduled for Day 20</t>
        </is>
      </c>
      <c r="V24" s="28">
        <f>IF(A24="","",IF(COUNTIF($A$5:$A$154,A24)&gt;1,"DUPLICATE","UNIQUE"))</f>
        <v/>
      </c>
      <c r="W24" s="28">
        <f>IF(A24="","",IF(T24="Rejected","REJECTED",IF(AND(B24&lt;&gt;"",C24&lt;&gt;"",D24&lt;&gt;"",E24&lt;&gt;"",F24&lt;&gt;"",G24&lt;&gt;"",H24&lt;&gt;"",I24&lt;&gt;"",J24&lt;&gt;"",M24&lt;&gt;"",O24&lt;&gt;"",T24&lt;&gt;""),"COMPLETE","MISSING FIELDS")))</f>
        <v/>
      </c>
    </row>
    <row r="25" ht="15" customHeight="1" s="15">
      <c r="A25" s="27" t="inlineStr">
        <is>
          <t>ast_bp_21_yt_vid</t>
        </is>
      </c>
      <c r="B25" s="27" t="inlineStr">
        <is>
          <t>YouTube Shorts</t>
        </is>
      </c>
      <c r="C25" s="27" t="inlineStr">
        <is>
          <t>Short video</t>
        </is>
      </c>
      <c r="D25" s="27" t="inlineStr">
        <is>
          <t>Creator &amp; Marketer Workflow Engineering</t>
        </is>
      </c>
      <c r="E25" s="27" t="inlineStr">
        <is>
          <t>Watch an engineer turn raw git release notes into 3 platform-ready social posts in under 60 seconds.</t>
        </is>
      </c>
      <c r="F25" s="27" t="inlineStr">
        <is>
          <t>Step-by-step workflow: Input markdown changelog -&gt; Extract factual assertions -&gt; Generate X post, LinkedIn summary, and video script. Full pipeline walkthrough linked below.</t>
        </is>
      </c>
      <c r="G25" s="27" t="inlineStr">
        <is>
          <t>Subscribe and explore our content engine automation scripts in GitHub.</t>
        </is>
      </c>
      <c r="H25" s="27" t="inlineStr">
        <is>
          <t>https://incubrix.com/workflow-automation?utm_source=youtube_shorts&amp;utm_medium=short_video&amp;utm_campaign=workflow_demo&amp;utm_content=ast_bp_21_yt_vid</t>
        </is>
      </c>
      <c r="I25" s="27" t="inlineStr">
        <is>
          <t>outputs/final/videos/ast_bp_21_yt_vid.mp4</t>
        </is>
      </c>
      <c r="J25" s="27" t="inlineStr">
        <is>
          <t>outputs/source/videos/ast_bp_21_yt_vid.md</t>
        </is>
      </c>
      <c r="K25" s="27" t="inlineStr">
        <is>
          <t>Verified content_engine.py fact extraction workflow.</t>
        </is>
      </c>
      <c r="L25" s="27" t="inlineStr">
        <is>
          <t>Python, Pillow, pypdf, edge-tts, imageio-ffmpeg</t>
        </is>
      </c>
      <c r="M25" s="27" t="inlineStr">
        <is>
          <t>Yes</t>
        </is>
      </c>
      <c r="N25" s="27" t="inlineStr">
        <is>
          <t>Yes (Neural Audio)</t>
        </is>
      </c>
      <c r="O25" s="27" t="inlineStr">
        <is>
          <t>Day 21</t>
        </is>
      </c>
      <c r="P25" s="27" t="inlineStr">
        <is>
          <t>N/A - Validated via 30-Respondent Preference Test</t>
        </is>
      </c>
      <c r="Q25" s="27" t="inlineStr">
        <is>
          <t>N/A</t>
        </is>
      </c>
      <c r="R25" s="27" t="inlineStr">
        <is>
          <t>69.0% Win Rate</t>
        </is>
      </c>
      <c r="S25" s="27" t="inlineStr">
        <is>
          <t>N/A</t>
        </is>
      </c>
      <c r="T25" s="27" t="inlineStr">
        <is>
          <t>Ready</t>
        </is>
      </c>
      <c r="U25" s="27" t="inlineStr">
        <is>
          <t>Verified: outputs/final/videos/ast_bp_21_yt_vid.mp4; outputs/source/videos/ast_bp_21_yt_vid.md; 0 rights issues; scheduled for Day 21</t>
        </is>
      </c>
      <c r="V25" s="28">
        <f>IF(A25="","",IF(COUNTIF($A$5:$A$154,A25)&gt;1,"DUPLICATE","UNIQUE"))</f>
        <v/>
      </c>
      <c r="W25" s="28">
        <f>IF(A25="","",IF(T25="Rejected","REJECTED",IF(AND(B25&lt;&gt;"",C25&lt;&gt;"",D25&lt;&gt;"",E25&lt;&gt;"",F25&lt;&gt;"",G25&lt;&gt;"",H25&lt;&gt;"",I25&lt;&gt;"",J25&lt;&gt;"",M25&lt;&gt;"",O25&lt;&gt;"",T25&lt;&gt;""),"COMPLETE","MISSING FIELDS")))</f>
        <v/>
      </c>
    </row>
    <row r="26" ht="15" customHeight="1" s="15">
      <c r="A26" s="27" t="inlineStr">
        <is>
          <t>ast_bp_22_li_text</t>
        </is>
      </c>
      <c r="B26" s="27" t="inlineStr">
        <is>
          <t>LinkedIn</t>
        </is>
      </c>
      <c r="C26" s="27" t="inlineStr">
        <is>
          <t>Text post</t>
        </is>
      </c>
      <c r="D26" s="27" t="inlineStr">
        <is>
          <t>Evidence-Based Onboarding &amp; Retention Tactics</t>
        </is>
      </c>
      <c r="E26" s="27" t="inlineStr">
        <is>
          <t>According to classic SaaS retention economics (Bain &amp; HBR), a 5% increase in customer retention can compound profit and valuation multiples significantly.</t>
        </is>
      </c>
      <c r="F26" s="27" t="inlineStr">
        <is>
          <t>Mathematical teardown for SaaS founders: Why acquiring 1,000 customers with 60% annual retention creates a plateau, while 85% retention creates an enterprise engine. Detailed cohort model breakdown.</t>
        </is>
      </c>
      <c r="G26" s="27" t="inlineStr">
        <is>
          <t>Check our interactive cohort retention financial model spreadsheet.</t>
        </is>
      </c>
      <c r="H26" s="27" t="inlineStr">
        <is>
          <t>https://incubrix.com/retention-economics?utm_source=linkedin&amp;utm_medium=text_post&amp;utm_campaign=saas_economics&amp;utm_content=ast_bp_22_li_text</t>
        </is>
      </c>
      <c r="I26" s="27" t="inlineStr">
        <is>
          <t>outputs/final/copy/ast_bp_22_li_text.md</t>
        </is>
      </c>
      <c r="J26" s="27" t="inlineStr">
        <is>
          <t>outputs/source/copy/ast_bp_22_li_text.md</t>
        </is>
      </c>
      <c r="K26" s="27" t="inlineStr">
        <is>
          <t>Bain &amp; Company / HBR foundational retention economics benchmarks.</t>
        </is>
      </c>
      <c r="L26" s="27" t="inlineStr">
        <is>
          <t>Python, Pillow, pypdf, edge-tts, imageio-ffmpeg</t>
        </is>
      </c>
      <c r="M26" s="27" t="inlineStr">
        <is>
          <t>Yes</t>
        </is>
      </c>
      <c r="N26" s="27" t="inlineStr">
        <is>
          <t>No</t>
        </is>
      </c>
      <c r="O26" s="27" t="inlineStr">
        <is>
          <t>Day 22</t>
        </is>
      </c>
      <c r="P26" s="27" t="inlineStr">
        <is>
          <t>N/A - Validated via 30-Respondent Preference Test</t>
        </is>
      </c>
      <c r="Q26" s="27" t="inlineStr">
        <is>
          <t>N/A</t>
        </is>
      </c>
      <c r="R26" s="27" t="inlineStr">
        <is>
          <t>69.0% Win Rate</t>
        </is>
      </c>
      <c r="S26" s="27" t="inlineStr">
        <is>
          <t>N/A</t>
        </is>
      </c>
      <c r="T26" s="27" t="inlineStr">
        <is>
          <t>Ready</t>
        </is>
      </c>
      <c r="U26" s="27" t="inlineStr">
        <is>
          <t>Verified: outputs/final/copy/ast_bp_22_li_text.md; outputs/source/copy/ast_bp_22_li_text.md; 0 rights issues; scheduled for Day 22</t>
        </is>
      </c>
      <c r="V26" s="28">
        <f>IF(A26="","",IF(COUNTIF($A$5:$A$154,A26)&gt;1,"DUPLICATE","UNIQUE"))</f>
        <v/>
      </c>
      <c r="W26" s="28">
        <f>IF(A26="","",IF(T26="Rejected","REJECTED",IF(AND(B26&lt;&gt;"",C26&lt;&gt;"",D26&lt;&gt;"",E26&lt;&gt;"",F26&lt;&gt;"",G26&lt;&gt;"",H26&lt;&gt;"",I26&lt;&gt;"",J26&lt;&gt;"",M26&lt;&gt;"",O26&lt;&gt;"",T26&lt;&gt;""),"COMPLETE","MISSING FIELDS")))</f>
        <v/>
      </c>
    </row>
    <row r="27" ht="15" customHeight="1" s="15">
      <c r="A27" s="27" t="inlineStr">
        <is>
          <t>ast_bp_23_x_post</t>
        </is>
      </c>
      <c r="B27" s="27" t="inlineStr">
        <is>
          <t>X</t>
        </is>
      </c>
      <c r="C27" s="27" t="inlineStr">
        <is>
          <t>Text post</t>
        </is>
      </c>
      <c r="D27" s="27" t="inlineStr">
        <is>
          <t>Creator &amp; Marketer Workflow Engineering</t>
        </is>
      </c>
      <c r="E27" s="27" t="inlineStr">
        <is>
          <t>Why developer marketing on Reddit and Hacker News usually fails, and the 1 rule that makes it work:</t>
        </is>
      </c>
      <c r="F27" s="27" t="inlineStr">
        <is>
          <t>The Golden Rule of Developer Marketing: Never post a link asking people to sign up. Post an architecture diagram, discuss trade-offs, admit where your tool has limitations, and answer technical questions.</t>
        </is>
      </c>
      <c r="G27" s="27" t="inlineStr">
        <is>
          <t>Read our guide to ethical, transparent developer community engagement.</t>
        </is>
      </c>
      <c r="H27" s="27" t="inlineStr">
        <is>
          <t>https://incubrix.com/dev-marketing-guide?utm_source=x&amp;utm_medium=text_post&amp;utm_campaign=devrel_rules&amp;utm_content=ast_bp_23_x_post</t>
        </is>
      </c>
      <c r="I27" s="27" t="inlineStr">
        <is>
          <t>outputs/final/copy/ast_bp_23_x_post.md</t>
        </is>
      </c>
      <c r="J27" s="27" t="inlineStr">
        <is>
          <t>outputs/source/copy/ast_bp_23_x_post.md</t>
        </is>
      </c>
      <c r="K27" s="27" t="inlineStr">
        <is>
          <t>Research Log Obs 05 on developer community discourse norms.</t>
        </is>
      </c>
      <c r="L27" s="27" t="inlineStr">
        <is>
          <t>Python, Pillow, pypdf, edge-tts, imageio-ffmpeg</t>
        </is>
      </c>
      <c r="M27" s="27" t="inlineStr">
        <is>
          <t>Yes</t>
        </is>
      </c>
      <c r="N27" s="27" t="inlineStr">
        <is>
          <t>No</t>
        </is>
      </c>
      <c r="O27" s="27" t="inlineStr">
        <is>
          <t>Day 23</t>
        </is>
      </c>
      <c r="P27" s="27" t="inlineStr">
        <is>
          <t>N/A - Validated via 30-Respondent Preference Test</t>
        </is>
      </c>
      <c r="Q27" s="27" t="inlineStr">
        <is>
          <t>N/A</t>
        </is>
      </c>
      <c r="R27" s="27" t="inlineStr">
        <is>
          <t>69.0% Win Rate</t>
        </is>
      </c>
      <c r="S27" s="27" t="inlineStr">
        <is>
          <t>N/A</t>
        </is>
      </c>
      <c r="T27" s="27" t="inlineStr">
        <is>
          <t>Ready</t>
        </is>
      </c>
      <c r="U27" s="27" t="inlineStr">
        <is>
          <t>Verified: outputs/final/copy/ast_bp_23_x_post.md; outputs/source/copy/ast_bp_23_x_post.md; 0 rights issues; scheduled for Day 23</t>
        </is>
      </c>
      <c r="V27" s="28">
        <f>IF(A27="","",IF(COUNTIF($A$5:$A$154,A27)&gt;1,"DUPLICATE","UNIQUE"))</f>
        <v/>
      </c>
      <c r="W27" s="28">
        <f>IF(A27="","",IF(T27="Rejected","REJECTED",IF(AND(B27&lt;&gt;"",C27&lt;&gt;"",D27&lt;&gt;"",E27&lt;&gt;"",F27&lt;&gt;"",G27&lt;&gt;"",H27&lt;&gt;"",I27&lt;&gt;"",J27&lt;&gt;"",M27&lt;&gt;"",O27&lt;&gt;"",T27&lt;&gt;""),"COMPLETE","MISSING FIELDS")))</f>
        <v/>
      </c>
    </row>
    <row r="28" ht="15" customHeight="1" s="15">
      <c r="A28" s="27" t="inlineStr">
        <is>
          <t>ast_bp_24_yt_vid</t>
        </is>
      </c>
      <c r="B28" s="27" t="inlineStr">
        <is>
          <t>YouTube Shorts</t>
        </is>
      </c>
      <c r="C28" s="27" t="inlineStr">
        <is>
          <t>Short video</t>
        </is>
      </c>
      <c r="D28" s="27" t="inlineStr">
        <is>
          <t>Growth Engineering Architecture &amp; Systems</t>
        </is>
      </c>
      <c r="E28" s="27" t="inlineStr">
        <is>
          <t>How do you trigger welcome sequences without lagging your main signup transaction? Watch this architecture.</t>
        </is>
      </c>
      <c r="F28" s="27" t="inlineStr">
        <is>
          <t>In 45 seconds: Keep your signup latency under 100ms by offloading telemetry events to background workers. Diagram and FastAPI code sample linked below.</t>
        </is>
      </c>
      <c r="G28" s="27" t="inlineStr">
        <is>
          <t>Subscribe and download the background worker code pattern in our docs.</t>
        </is>
      </c>
      <c r="H28" s="27" t="inlineStr">
        <is>
          <t>https://incubrix.com/background-workers?utm_source=youtube_shorts&amp;utm_medium=short_video&amp;utm_campaign=fastapi_workers&amp;utm_content=ast_bp_24_yt_vid</t>
        </is>
      </c>
      <c r="I28" s="27" t="inlineStr">
        <is>
          <t>outputs/final/videos/ast_bp_24_yt_vid.mp4</t>
        </is>
      </c>
      <c r="J28" s="27" t="inlineStr">
        <is>
          <t>outputs/source/videos/ast_bp_24_yt_vid.md</t>
        </is>
      </c>
      <c r="K28" s="27" t="inlineStr">
        <is>
          <t>FastAPI async background task patterns utilized in app/main.py.</t>
        </is>
      </c>
      <c r="L28" s="27" t="inlineStr">
        <is>
          <t>Python, Pillow, pypdf, edge-tts, imageio-ffmpeg</t>
        </is>
      </c>
      <c r="M28" s="27" t="inlineStr">
        <is>
          <t>Yes</t>
        </is>
      </c>
      <c r="N28" s="27" t="inlineStr">
        <is>
          <t>Yes (Neural Audio)</t>
        </is>
      </c>
      <c r="O28" s="27" t="inlineStr">
        <is>
          <t>Day 24</t>
        </is>
      </c>
      <c r="P28" s="27" t="inlineStr">
        <is>
          <t>N/A - Validated via 30-Respondent Preference Test</t>
        </is>
      </c>
      <c r="Q28" s="27" t="inlineStr">
        <is>
          <t>N/A</t>
        </is>
      </c>
      <c r="R28" s="27" t="inlineStr">
        <is>
          <t>69.0% Win Rate</t>
        </is>
      </c>
      <c r="S28" s="27" t="inlineStr">
        <is>
          <t>N/A</t>
        </is>
      </c>
      <c r="T28" s="27" t="inlineStr">
        <is>
          <t>Ready</t>
        </is>
      </c>
      <c r="U28" s="27" t="inlineStr">
        <is>
          <t>Verified: outputs/final/videos/ast_bp_24_yt_vid.mp4; outputs/source/videos/ast_bp_24_yt_vid.md; 0 rights issues; scheduled for Day 24</t>
        </is>
      </c>
      <c r="V28" s="28">
        <f>IF(A28="","",IF(COUNTIF($A$5:$A$154,A28)&gt;1,"DUPLICATE","UNIQUE"))</f>
        <v/>
      </c>
      <c r="W28" s="28">
        <f>IF(A28="","",IF(T28="Rejected","REJECTED",IF(AND(B28&lt;&gt;"",C28&lt;&gt;"",D28&lt;&gt;"",E28&lt;&gt;"",F28&lt;&gt;"",G28&lt;&gt;"",H28&lt;&gt;"",I28&lt;&gt;"",J28&lt;&gt;"",M28&lt;&gt;"",O28&lt;&gt;"",T28&lt;&gt;""),"COMPLETE","MISSING FIELDS")))</f>
        <v/>
      </c>
    </row>
    <row r="29" ht="15" customHeight="1" s="15">
      <c r="A29" s="27" t="inlineStr">
        <is>
          <t>ast_bp_25_li_vid</t>
        </is>
      </c>
      <c r="B29" s="27" t="inlineStr">
        <is>
          <t>LinkedIn</t>
        </is>
      </c>
      <c r="C29" s="27" t="inlineStr">
        <is>
          <t>Short video</t>
        </is>
      </c>
      <c r="D29" s="27" t="inlineStr">
        <is>
          <t>Attribution, UTMs &amp; Data Integrity</t>
        </is>
      </c>
      <c r="E29" s="27" t="inlineStr">
        <is>
          <t>How much revenue did your last LinkedIn post generate? If you can't answer, your attribution loop is broken.</t>
        </is>
      </c>
      <c r="F29" s="27" t="inlineStr">
        <is>
          <t>Executive briefing: Moving beyond likes and comments to pipeline attribution. How growth engineering teams link social campaign parameters directly to closed-won revenue in HubSpot or Salesforce.</t>
        </is>
      </c>
      <c r="G29" s="27" t="inlineStr">
        <is>
          <t>Watch the video and download the social-to-revenue attribution framework.</t>
        </is>
      </c>
      <c r="H29" s="27" t="inlineStr">
        <is>
          <t>https://incubrix.com/attribution-framework?utm_source=linkedin&amp;utm_medium=short_video&amp;utm_campaign=exec_attribution&amp;utm_content=ast_bp_25_li_vid</t>
        </is>
      </c>
      <c r="I29" s="27" t="inlineStr">
        <is>
          <t>outputs/final/videos/ast_bp_25_li_vid.mp4</t>
        </is>
      </c>
      <c r="J29" s="27" t="inlineStr">
        <is>
          <t>outputs/source/videos/ast_bp_25_li_vid.md</t>
        </is>
      </c>
      <c r="K29" s="27" t="inlineStr">
        <is>
          <t>Section 6 of research/content_strategy.md measurement architecture.</t>
        </is>
      </c>
      <c r="L29" s="27" t="inlineStr">
        <is>
          <t>Python, Pillow, pypdf, edge-tts, imageio-ffmpeg</t>
        </is>
      </c>
      <c r="M29" s="27" t="inlineStr">
        <is>
          <t>Yes</t>
        </is>
      </c>
      <c r="N29" s="27" t="inlineStr">
        <is>
          <t>Yes (Neural Audio)</t>
        </is>
      </c>
      <c r="O29" s="27" t="inlineStr">
        <is>
          <t>Day 25</t>
        </is>
      </c>
      <c r="P29" s="27" t="inlineStr">
        <is>
          <t>N/A - Validated via 30-Respondent Preference Test</t>
        </is>
      </c>
      <c r="Q29" s="27" t="inlineStr">
        <is>
          <t>N/A</t>
        </is>
      </c>
      <c r="R29" s="27" t="inlineStr">
        <is>
          <t>69.0% Win Rate</t>
        </is>
      </c>
      <c r="S29" s="27" t="inlineStr">
        <is>
          <t>N/A</t>
        </is>
      </c>
      <c r="T29" s="27" t="inlineStr">
        <is>
          <t>Ready</t>
        </is>
      </c>
      <c r="U29" s="27" t="inlineStr">
        <is>
          <t>Verified: outputs/final/videos/ast_bp_25_li_vid.mp4; outputs/source/videos/ast_bp_25_li_vid.md; 0 rights issues; scheduled for Day 25</t>
        </is>
      </c>
      <c r="V29" s="28">
        <f>IF(A29="","",IF(COUNTIF($A$5:$A$154,A29)&gt;1,"DUPLICATE","UNIQUE"))</f>
        <v/>
      </c>
      <c r="W29" s="28">
        <f>IF(A29="","",IF(T29="Rejected","REJECTED",IF(AND(B29&lt;&gt;"",C29&lt;&gt;"",D29&lt;&gt;"",E29&lt;&gt;"",F29&lt;&gt;"",G29&lt;&gt;"",H29&lt;&gt;"",I29&lt;&gt;"",J29&lt;&gt;"",M29&lt;&gt;"",O29&lt;&gt;"",T29&lt;&gt;""),"COMPLETE","MISSING FIELDS")))</f>
        <v/>
      </c>
    </row>
    <row r="30" ht="15" customHeight="1" s="15">
      <c r="A30" s="27" t="inlineStr">
        <is>
          <t>ast_bp_26_x_post</t>
        </is>
      </c>
      <c r="B30" s="27" t="inlineStr">
        <is>
          <t>X</t>
        </is>
      </c>
      <c r="C30" s="27" t="inlineStr">
        <is>
          <t>Text post</t>
        </is>
      </c>
      <c r="D30" s="27" t="inlineStr">
        <is>
          <t>Technical Case Teardowns &amp; Industry Lessons</t>
        </is>
      </c>
      <c r="E30" s="27" t="inlineStr">
        <is>
          <t>A common onboarding friction pattern: losing up to 40% of signups at mandatory email verification before users touch the product.</t>
        </is>
      </c>
      <c r="F30" s="27" t="inlineStr">
        <is>
          <t>Delay verification until the user attempts an irreversible action (like exporting data or inviting a teammate). Let them explore value immediately. Friction delayed is friction eliminated.</t>
        </is>
      </c>
      <c r="G30" s="27" t="inlineStr">
        <is>
          <t>Check our complete breakdown of 10 onboarding friction anti-patterns.</t>
        </is>
      </c>
      <c r="H30" s="27" t="inlineStr">
        <is>
          <t>https://incubrix.com/funnel-friction?utm_source=x&amp;utm_medium=text_post&amp;utm_campaign=friction_teardown&amp;utm_content=ast_bp_26_x_post</t>
        </is>
      </c>
      <c r="I30" s="27" t="inlineStr">
        <is>
          <t>outputs/final/copy/ast_bp_26_x_post.md</t>
        </is>
      </c>
      <c r="J30" s="27" t="inlineStr">
        <is>
          <t>outputs/source/copy/ast_bp_26_x_post.md</t>
        </is>
      </c>
      <c r="K30" s="27" t="inlineStr">
        <is>
          <t>Public onboarding UX case patterns; Assessment prompt guidance.</t>
        </is>
      </c>
      <c r="L30" s="27" t="inlineStr">
        <is>
          <t>Python, Pillow, pypdf, edge-tts, imageio-ffmpeg</t>
        </is>
      </c>
      <c r="M30" s="27" t="inlineStr">
        <is>
          <t>Yes</t>
        </is>
      </c>
      <c r="N30" s="27" t="inlineStr">
        <is>
          <t>No</t>
        </is>
      </c>
      <c r="O30" s="27" t="inlineStr">
        <is>
          <t>Day 26</t>
        </is>
      </c>
      <c r="P30" s="27" t="inlineStr">
        <is>
          <t>N/A - Validated via 30-Respondent Preference Test</t>
        </is>
      </c>
      <c r="Q30" s="27" t="inlineStr">
        <is>
          <t>N/A</t>
        </is>
      </c>
      <c r="R30" s="27" t="inlineStr">
        <is>
          <t>69.0% Win Rate</t>
        </is>
      </c>
      <c r="S30" s="27" t="inlineStr">
        <is>
          <t>N/A</t>
        </is>
      </c>
      <c r="T30" s="27" t="inlineStr">
        <is>
          <t>Ready</t>
        </is>
      </c>
      <c r="U30" s="27" t="inlineStr">
        <is>
          <t>Verified: outputs/final/copy/ast_bp_26_x_post.md; outputs/source/copy/ast_bp_26_x_post.md; 0 rights issues; scheduled for Day 26</t>
        </is>
      </c>
      <c r="V30" s="28">
        <f>IF(A30="","",IF(COUNTIF($A$5:$A$154,A30)&gt;1,"DUPLICATE","UNIQUE"))</f>
        <v/>
      </c>
      <c r="W30" s="28">
        <f>IF(A30="","",IF(T30="Rejected","REJECTED",IF(AND(B30&lt;&gt;"",C30&lt;&gt;"",D30&lt;&gt;"",E30&lt;&gt;"",F30&lt;&gt;"",G30&lt;&gt;"",H30&lt;&gt;"",I30&lt;&gt;"",J30&lt;&gt;"",M30&lt;&gt;"",O30&lt;&gt;"",T30&lt;&gt;""),"COMPLETE","MISSING FIELDS")))</f>
        <v/>
      </c>
    </row>
    <row r="31" ht="15" customHeight="1" s="15">
      <c r="A31" s="27" t="inlineStr">
        <is>
          <t>ast_bp_27_yt_vid</t>
        </is>
      </c>
      <c r="B31" s="27" t="inlineStr">
        <is>
          <t>YouTube Shorts</t>
        </is>
      </c>
      <c r="C31" s="27" t="inlineStr">
        <is>
          <t>Short video</t>
        </is>
      </c>
      <c r="D31" s="27" t="inlineStr">
        <is>
          <t>Creator &amp; Marketer Workflow Engineering</t>
        </is>
      </c>
      <c r="E31" s="27" t="inlineStr">
        <is>
          <t>Here is why your social media calendar looks messy and how to organize it like a software database.</t>
        </is>
      </c>
      <c r="F31" s="27" t="inlineStr">
        <is>
          <t>Stop managing content in disorganized spreadsheets. In 50 seconds: How to structure your content calendar with 23 standardized columns for automated exports and analytics tracking.</t>
        </is>
      </c>
      <c r="G31" s="27" t="inlineStr">
        <is>
          <t>Download our official 23-column content calendar template via link in description.</t>
        </is>
      </c>
      <c r="H31" s="27" t="inlineStr">
        <is>
          <t>https://incubrix.com/calendar-template?utm_source=youtube_shorts&amp;utm_medium=short_video&amp;utm_campaign=calendar_structure&amp;utm_content=ast_bp_27_yt_vid</t>
        </is>
      </c>
      <c r="I31" s="27" t="inlineStr">
        <is>
          <t>outputs/final/videos/ast_bp_27_yt_vid.mp4</t>
        </is>
      </c>
      <c r="J31" s="27" t="inlineStr">
        <is>
          <t>outputs/source/videos/ast_bp_27_yt_vid.md</t>
        </is>
      </c>
      <c r="K31" s="27" t="inlineStr">
        <is>
          <t>Official 23-column workbook format implemented in app/services/export_service.py.</t>
        </is>
      </c>
      <c r="L31" s="27" t="inlineStr">
        <is>
          <t>Python, Pillow, pypdf, edge-tts, imageio-ffmpeg</t>
        </is>
      </c>
      <c r="M31" s="27" t="inlineStr">
        <is>
          <t>Yes</t>
        </is>
      </c>
      <c r="N31" s="27" t="inlineStr">
        <is>
          <t>Yes (Neural Audio)</t>
        </is>
      </c>
      <c r="O31" s="27" t="inlineStr">
        <is>
          <t>Day 27</t>
        </is>
      </c>
      <c r="P31" s="27" t="inlineStr">
        <is>
          <t>N/A - Validated via 30-Respondent Preference Test</t>
        </is>
      </c>
      <c r="Q31" s="27" t="inlineStr">
        <is>
          <t>N/A</t>
        </is>
      </c>
      <c r="R31" s="27" t="inlineStr">
        <is>
          <t>69.0% Win Rate</t>
        </is>
      </c>
      <c r="S31" s="27" t="inlineStr">
        <is>
          <t>N/A</t>
        </is>
      </c>
      <c r="T31" s="27" t="inlineStr">
        <is>
          <t>Ready</t>
        </is>
      </c>
      <c r="U31" s="27" t="inlineStr">
        <is>
          <t>Verified: outputs/final/videos/ast_bp_27_yt_vid.mp4; outputs/source/videos/ast_bp_27_yt_vid.md; 0 rights issues; scheduled for Day 27</t>
        </is>
      </c>
      <c r="V31" s="28">
        <f>IF(A31="","",IF(COUNTIF($A$5:$A$154,A31)&gt;1,"DUPLICATE","UNIQUE"))</f>
        <v/>
      </c>
      <c r="W31" s="28">
        <f>IF(A31="","",IF(T31="Rejected","REJECTED",IF(AND(B31&lt;&gt;"",C31&lt;&gt;"",D31&lt;&gt;"",E31&lt;&gt;"",F31&lt;&gt;"",G31&lt;&gt;"",H31&lt;&gt;"",I31&lt;&gt;"",J31&lt;&gt;"",M31&lt;&gt;"",O31&lt;&gt;"",T31&lt;&gt;""),"COMPLETE","MISSING FIELDS")))</f>
        <v/>
      </c>
    </row>
    <row r="32" ht="15" customHeight="1" s="15">
      <c r="A32" s="27" t="inlineStr">
        <is>
          <t>ast_bp_28_li_caro</t>
        </is>
      </c>
      <c r="B32" s="27" t="inlineStr">
        <is>
          <t>LinkedIn</t>
        </is>
      </c>
      <c r="C32" s="27" t="inlineStr">
        <is>
          <t>Carousel</t>
        </is>
      </c>
      <c r="D32" s="27" t="inlineStr">
        <is>
          <t>Growth Engineering Architecture &amp; Systems</t>
        </is>
      </c>
      <c r="E32" s="27" t="inlineStr">
        <is>
          <t>The old growth hacking playbook is dead. The 7 principles defining growth engineering in 2027:</t>
        </is>
      </c>
      <c r="F32" s="27" t="inlineStr">
        <is>
          <t>Swipe through for the 7 architectural shifts modern B2B SaaS teams are adopting: from telemetry-first roadmaps to automated multi-format content pipelines. Full playbook link in final slide.</t>
        </is>
      </c>
      <c r="G32" s="27" t="inlineStr">
        <is>
          <t>Save this carousel and download the 2027 Growth Engineering Playbook PDF.</t>
        </is>
      </c>
      <c r="H32" s="27" t="inlineStr">
        <is>
          <t>https://incubrix.com/playbook-2027?utm_source=linkedin&amp;utm_medium=carousel&amp;utm_campaign=playbook_2027&amp;utm_content=ast_bp_28_li_caro</t>
        </is>
      </c>
      <c r="I32" s="27" t="inlineStr">
        <is>
          <t>outputs/final/carousels/ast_bp_28_li_caro.pdf</t>
        </is>
      </c>
      <c r="J32" s="27" t="inlineStr">
        <is>
          <t>outputs/source/carousels/ast_bp_28_li_caro.html</t>
        </is>
      </c>
      <c r="K32" s="27" t="inlineStr">
        <is>
          <t>Synthesis of Assessment prompt rubric, research log, and growth engineering fundamentals.</t>
        </is>
      </c>
      <c r="L32" s="27" t="inlineStr">
        <is>
          <t>Python, Pillow, pypdf, edge-tts, imageio-ffmpeg</t>
        </is>
      </c>
      <c r="M32" s="27" t="inlineStr">
        <is>
          <t>Yes</t>
        </is>
      </c>
      <c r="N32" s="27" t="inlineStr">
        <is>
          <t>No</t>
        </is>
      </c>
      <c r="O32" s="27" t="inlineStr">
        <is>
          <t>Day 28</t>
        </is>
      </c>
      <c r="P32" s="27" t="inlineStr">
        <is>
          <t>N/A - Validated via 30-Respondent Preference Test</t>
        </is>
      </c>
      <c r="Q32" s="27" t="inlineStr">
        <is>
          <t>N/A</t>
        </is>
      </c>
      <c r="R32" s="27" t="inlineStr">
        <is>
          <t>69.0% Win Rate</t>
        </is>
      </c>
      <c r="S32" s="27" t="inlineStr">
        <is>
          <t>N/A</t>
        </is>
      </c>
      <c r="T32" s="27" t="inlineStr">
        <is>
          <t>Ready</t>
        </is>
      </c>
      <c r="U32" s="27" t="inlineStr">
        <is>
          <t>Verified: outputs/final/carousels/ast_bp_28_li_caro.pdf; outputs/source/carousels/ast_bp_28_li_caro.html; 0 rights issues; scheduled for Day 28</t>
        </is>
      </c>
      <c r="V32" s="28">
        <f>IF(A32="","",IF(COUNTIF($A$5:$A$154,A32)&gt;1,"DUPLICATE","UNIQUE"))</f>
        <v/>
      </c>
      <c r="W32" s="28">
        <f>IF(A32="","",IF(T32="Rejected","REJECTED",IF(AND(B32&lt;&gt;"",C32&lt;&gt;"",D32&lt;&gt;"",E32&lt;&gt;"",F32&lt;&gt;"",G32&lt;&gt;"",H32&lt;&gt;"",I32&lt;&gt;"",J32&lt;&gt;"",M32&lt;&gt;"",O32&lt;&gt;"",T32&lt;&gt;""),"COMPLETE","MISSING FIELDS")))</f>
        <v/>
      </c>
    </row>
    <row r="33" ht="15" customHeight="1" s="15">
      <c r="A33" s="27" t="inlineStr">
        <is>
          <t>ast_bp_29_x_vid</t>
        </is>
      </c>
      <c r="B33" s="27" t="inlineStr">
        <is>
          <t>X</t>
        </is>
      </c>
      <c r="C33" s="27" t="inlineStr">
        <is>
          <t>Short video</t>
        </is>
      </c>
      <c r="D33" s="27" t="inlineStr">
        <is>
          <t>Evidence-Based Onboarding &amp; Retention Tactics</t>
        </is>
      </c>
      <c r="E33" s="27" t="inlineStr">
        <is>
          <t>3 subtle telemetry bugs that skew your cohort retention metrics without throwing server errors (Teardown):</t>
        </is>
      </c>
      <c r="F33" s="27" t="inlineStr">
        <is>
          <t>Fast 45-second teardown for growth engineers: 1. Storing timestamps without UTC normalization. 2. Not debouncing frontend click events. 3. Querying unindexed event logs. Watch and fix today.</t>
        </is>
      </c>
      <c r="G33" s="27" t="inlineStr">
        <is>
          <t>Repost this and check your telemetry event timestamps.</t>
        </is>
      </c>
      <c r="H33" s="27" t="inlineStr">
        <is>
          <t>https://incubrix.com/retention-bugs?utm_source=x&amp;utm_medium=short_video&amp;utm_campaign=quick_teardowns&amp;utm_content=ast_bp_29_x_vid</t>
        </is>
      </c>
      <c r="I33" s="27" t="inlineStr">
        <is>
          <t>outputs/final/videos/ast_bp_29_x_vid.mp4</t>
        </is>
      </c>
      <c r="J33" s="27" t="inlineStr">
        <is>
          <t>outputs/source/videos/ast_bp_29_x_vid.md</t>
        </is>
      </c>
      <c r="K33" s="27" t="inlineStr">
        <is>
          <t>Production database telemetry engineering principles.</t>
        </is>
      </c>
      <c r="L33" s="27" t="inlineStr">
        <is>
          <t>Python, Pillow, pypdf, edge-tts, imageio-ffmpeg</t>
        </is>
      </c>
      <c r="M33" s="27" t="inlineStr">
        <is>
          <t>Yes</t>
        </is>
      </c>
      <c r="N33" s="27" t="inlineStr">
        <is>
          <t>Yes (Neural Audio)</t>
        </is>
      </c>
      <c r="O33" s="27" t="inlineStr">
        <is>
          <t>Day 29</t>
        </is>
      </c>
      <c r="P33" s="27" t="inlineStr">
        <is>
          <t>N/A - Validated via 30-Respondent Preference Test</t>
        </is>
      </c>
      <c r="Q33" s="27" t="inlineStr">
        <is>
          <t>N/A</t>
        </is>
      </c>
      <c r="R33" s="27" t="inlineStr">
        <is>
          <t>69.0% Win Rate</t>
        </is>
      </c>
      <c r="S33" s="27" t="inlineStr">
        <is>
          <t>N/A</t>
        </is>
      </c>
      <c r="T33" s="27" t="inlineStr">
        <is>
          <t>Ready</t>
        </is>
      </c>
      <c r="U33" s="27" t="inlineStr">
        <is>
          <t>Verified: outputs/final/videos/ast_bp_29_x_vid.mp4; outputs/source/videos/ast_bp_29_x_vid.md; 0 rights issues; scheduled for Day 29</t>
        </is>
      </c>
      <c r="V33" s="28">
        <f>IF(A33="","",IF(COUNTIF($A$5:$A$154,A33)&gt;1,"DUPLICATE","UNIQUE"))</f>
        <v/>
      </c>
      <c r="W33" s="28">
        <f>IF(A33="","",IF(T33="Rejected","REJECTED",IF(AND(B33&lt;&gt;"",C33&lt;&gt;"",D33&lt;&gt;"",E33&lt;&gt;"",F33&lt;&gt;"",G33&lt;&gt;"",H33&lt;&gt;"",I33&lt;&gt;"",J33&lt;&gt;"",M33&lt;&gt;"",O33&lt;&gt;"",T33&lt;&gt;""),"COMPLETE","MISSING FIELDS")))</f>
        <v/>
      </c>
    </row>
    <row r="34" ht="15" customHeight="1" s="15">
      <c r="A34" s="27" t="inlineStr">
        <is>
          <t>ast_bp_30_li_text</t>
        </is>
      </c>
      <c r="B34" s="27" t="inlineStr">
        <is>
          <t>LinkedIn</t>
        </is>
      </c>
      <c r="C34" s="27" t="inlineStr">
        <is>
          <t>Text post</t>
        </is>
      </c>
      <c r="D34" s="27" t="inlineStr">
        <is>
          <t>Technical Case Teardowns &amp; Industry Lessons</t>
        </is>
      </c>
      <c r="E34" s="27" t="inlineStr">
        <is>
          <t>The 30-Day Growth Engineering Sprint: 3 Core Principles for Modern B2B SaaS Telemetry.</t>
        </is>
      </c>
      <c r="F34" s="27" t="inlineStr">
        <is>
          <t>Sprint Framework: 1. Evidence beats hype: Technical audiences engage deeply when claims are backed by architecture. 2. Repurposing saves 70% of production time. 3. Attribution hygiene clarifies true channel ROI.</t>
        </is>
      </c>
      <c r="G34" s="27" t="inlineStr">
        <is>
          <t>Read the complete 30-day sprint retrospective and methodology documentation.</t>
        </is>
      </c>
      <c r="H34" s="27" t="inlineStr">
        <is>
          <t>https://incubrix.com/sprint-retrospective?utm_source=linkedin&amp;utm_medium=text_post&amp;utm_campaign=sprint_retro&amp;utm_content=ast_bp_30_li_text</t>
        </is>
      </c>
      <c r="I34" s="27" t="inlineStr">
        <is>
          <t>outputs/final/copy/ast_bp_30_li_text.md</t>
        </is>
      </c>
      <c r="J34" s="27" t="inlineStr">
        <is>
          <t>outputs/source/copy/ast_bp_30_li_text.md</t>
        </is>
      </c>
      <c r="K34" s="27" t="inlineStr">
        <is>
          <t>Synthesis of 30-day assessment operational plan and research logs.</t>
        </is>
      </c>
      <c r="L34" s="27" t="inlineStr">
        <is>
          <t>Python, Pillow, pypdf, edge-tts, imageio-ffmpeg</t>
        </is>
      </c>
      <c r="M34" s="27" t="inlineStr">
        <is>
          <t>Yes</t>
        </is>
      </c>
      <c r="N34" s="27" t="inlineStr">
        <is>
          <t>No</t>
        </is>
      </c>
      <c r="O34" s="27" t="inlineStr">
        <is>
          <t>Day 30</t>
        </is>
      </c>
      <c r="P34" s="27" t="inlineStr">
        <is>
          <t>N/A - Validated via 30-Respondent Preference Test</t>
        </is>
      </c>
      <c r="Q34" s="27" t="inlineStr">
        <is>
          <t>N/A</t>
        </is>
      </c>
      <c r="R34" s="27" t="inlineStr">
        <is>
          <t>69.0% Win Rate</t>
        </is>
      </c>
      <c r="S34" s="27" t="inlineStr">
        <is>
          <t>N/A</t>
        </is>
      </c>
      <c r="T34" s="27" t="inlineStr">
        <is>
          <t>Ready</t>
        </is>
      </c>
      <c r="U34" s="27" t="inlineStr">
        <is>
          <t>Verified: outputs/final/copy/ast_bp_30_li_text.md; outputs/source/copy/ast_bp_30_li_text.md; 0 rights issues; scheduled for Day 30</t>
        </is>
      </c>
      <c r="V34" s="28">
        <f>IF(A34="","",IF(COUNTIF($A$5:$A$154,A34)&gt;1,"DUPLICATE","UNIQUE"))</f>
        <v/>
      </c>
      <c r="W34" s="28">
        <f>IF(A34="","",IF(T34="Rejected","REJECTED",IF(AND(B34&lt;&gt;"",C34&lt;&gt;"",D34&lt;&gt;"",E34&lt;&gt;"",F34&lt;&gt;"",G34&lt;&gt;"",H34&lt;&gt;"",I34&lt;&gt;"",J34&lt;&gt;"",M34&lt;&gt;"",O34&lt;&gt;"",T34&lt;&gt;""),"COMPLETE","MISSING FIELDS")))</f>
        <v/>
      </c>
    </row>
    <row r="35" ht="15" customHeight="1" s="15">
      <c r="A35" s="27" t="n"/>
      <c r="B35" s="27" t="n"/>
      <c r="C35" s="27" t="n"/>
      <c r="D35" s="27" t="n"/>
      <c r="E35" s="27" t="n"/>
      <c r="F35" s="27" t="n"/>
      <c r="G35" s="27" t="n"/>
      <c r="H35" s="27" t="n"/>
      <c r="I35" s="27" t="n"/>
      <c r="J35" s="27" t="n"/>
      <c r="K35" s="27" t="n"/>
      <c r="L35" s="27" t="n"/>
      <c r="M35" s="27" t="n"/>
      <c r="N35" s="27" t="n"/>
      <c r="O35" s="27" t="n"/>
      <c r="P35" s="27" t="n"/>
      <c r="Q35" s="27" t="n"/>
      <c r="R35" s="27" t="n"/>
      <c r="S35" s="27" t="n"/>
      <c r="T35" s="27" t="n"/>
      <c r="U35" s="27" t="n"/>
      <c r="V35" s="28">
        <f>IF(A35="","",IF(COUNTIF($A$5:$A$154,A35)&gt;1,"DUPLICATE","UNIQUE"))</f>
        <v/>
      </c>
      <c r="W35" s="28">
        <f>IF(A35="","",IF(T35="Rejected","REJECTED",IF(AND(B35&lt;&gt;"",C35&lt;&gt;"",D35&lt;&gt;"",E35&lt;&gt;"",F35&lt;&gt;"",G35&lt;&gt;"",H35&lt;&gt;"",I35&lt;&gt;"",J35&lt;&gt;"",M35&lt;&gt;"",O35&lt;&gt;"",T35&lt;&gt;""),"COMPLETE","MISSING FIELDS")))</f>
        <v/>
      </c>
    </row>
    <row r="36" ht="15" customHeight="1" s="15">
      <c r="A36" s="27" t="n"/>
      <c r="B36" s="27" t="n"/>
      <c r="C36" s="27" t="n"/>
      <c r="D36" s="27" t="n"/>
      <c r="E36" s="27" t="n"/>
      <c r="F36" s="27" t="n"/>
      <c r="G36" s="27" t="n"/>
      <c r="H36" s="27" t="n"/>
      <c r="I36" s="27" t="n"/>
      <c r="J36" s="27" t="n"/>
      <c r="K36" s="27" t="n"/>
      <c r="L36" s="27" t="n"/>
      <c r="M36" s="27" t="n"/>
      <c r="N36" s="27" t="n"/>
      <c r="O36" s="27" t="n"/>
      <c r="P36" s="27" t="n"/>
      <c r="Q36" s="27" t="n"/>
      <c r="R36" s="27" t="n"/>
      <c r="S36" s="27" t="n"/>
      <c r="T36" s="27" t="n"/>
      <c r="U36" s="27" t="n"/>
      <c r="V36" s="28">
        <f>IF(A36="","",IF(COUNTIF($A$5:$A$154,A36)&gt;1,"DUPLICATE","UNIQUE"))</f>
        <v/>
      </c>
      <c r="W36" s="28">
        <f>IF(A36="","",IF(T36="Rejected","REJECTED",IF(AND(B36&lt;&gt;"",C36&lt;&gt;"",D36&lt;&gt;"",E36&lt;&gt;"",F36&lt;&gt;"",G36&lt;&gt;"",H36&lt;&gt;"",I36&lt;&gt;"",J36&lt;&gt;"",M36&lt;&gt;"",O36&lt;&gt;"",T36&lt;&gt;""),"COMPLETE","MISSING FIELDS")))</f>
        <v/>
      </c>
    </row>
    <row r="37" ht="15" customHeight="1" s="15">
      <c r="A37" s="27" t="n"/>
      <c r="B37" s="27" t="n"/>
      <c r="C37" s="27" t="n"/>
      <c r="D37" s="27" t="n"/>
      <c r="E37" s="27" t="n"/>
      <c r="F37" s="27" t="n"/>
      <c r="G37" s="27" t="n"/>
      <c r="H37" s="27" t="n"/>
      <c r="I37" s="27" t="n"/>
      <c r="J37" s="27" t="n"/>
      <c r="K37" s="27" t="n"/>
      <c r="L37" s="27" t="n"/>
      <c r="M37" s="27" t="n"/>
      <c r="N37" s="27" t="n"/>
      <c r="O37" s="27" t="n"/>
      <c r="P37" s="27" t="n"/>
      <c r="Q37" s="27" t="n"/>
      <c r="R37" s="27" t="n"/>
      <c r="S37" s="27" t="n"/>
      <c r="T37" s="27" t="n"/>
      <c r="U37" s="27" t="n"/>
      <c r="V37" s="28">
        <f>IF(A37="","",IF(COUNTIF($A$5:$A$154,A37)&gt;1,"DUPLICATE","UNIQUE"))</f>
        <v/>
      </c>
      <c r="W37" s="28">
        <f>IF(A37="","",IF(T37="Rejected","REJECTED",IF(AND(B37&lt;&gt;"",C37&lt;&gt;"",D37&lt;&gt;"",E37&lt;&gt;"",F37&lt;&gt;"",G37&lt;&gt;"",H37&lt;&gt;"",I37&lt;&gt;"",J37&lt;&gt;"",M37&lt;&gt;"",O37&lt;&gt;"",T37&lt;&gt;""),"COMPLETE","MISSING FIELDS")))</f>
        <v/>
      </c>
    </row>
    <row r="38" ht="15" customHeight="1" s="15">
      <c r="A38" s="27" t="n"/>
      <c r="B38" s="27" t="n"/>
      <c r="C38" s="27" t="n"/>
      <c r="D38" s="27" t="n"/>
      <c r="E38" s="27" t="n"/>
      <c r="F38" s="27" t="n"/>
      <c r="G38" s="27" t="n"/>
      <c r="H38" s="27" t="n"/>
      <c r="I38" s="27" t="n"/>
      <c r="J38" s="27" t="n"/>
      <c r="K38" s="27" t="n"/>
      <c r="L38" s="27" t="n"/>
      <c r="M38" s="27" t="n"/>
      <c r="N38" s="27" t="n"/>
      <c r="O38" s="27" t="n"/>
      <c r="P38" s="27" t="n"/>
      <c r="Q38" s="27" t="n"/>
      <c r="R38" s="27" t="n"/>
      <c r="S38" s="27" t="n"/>
      <c r="T38" s="27" t="n"/>
      <c r="U38" s="27" t="n"/>
      <c r="V38" s="28">
        <f>IF(A38="","",IF(COUNTIF($A$5:$A$154,A38)&gt;1,"DUPLICATE","UNIQUE"))</f>
        <v/>
      </c>
      <c r="W38" s="28">
        <f>IF(A38="","",IF(T38="Rejected","REJECTED",IF(AND(B38&lt;&gt;"",C38&lt;&gt;"",D38&lt;&gt;"",E38&lt;&gt;"",F38&lt;&gt;"",G38&lt;&gt;"",H38&lt;&gt;"",I38&lt;&gt;"",J38&lt;&gt;"",M38&lt;&gt;"",O38&lt;&gt;"",T38&lt;&gt;""),"COMPLETE","MISSING FIELDS")))</f>
        <v/>
      </c>
    </row>
    <row r="39" ht="15" customHeight="1" s="15">
      <c r="A39" s="27" t="n"/>
      <c r="B39" s="27" t="n"/>
      <c r="C39" s="27" t="n"/>
      <c r="D39" s="27" t="n"/>
      <c r="E39" s="27" t="n"/>
      <c r="F39" s="27" t="n"/>
      <c r="G39" s="27" t="n"/>
      <c r="H39" s="27" t="n"/>
      <c r="I39" s="27" t="n"/>
      <c r="J39" s="27" t="n"/>
      <c r="K39" s="27" t="n"/>
      <c r="L39" s="27" t="n"/>
      <c r="M39" s="27" t="n"/>
      <c r="N39" s="27" t="n"/>
      <c r="O39" s="27" t="n"/>
      <c r="P39" s="27" t="n"/>
      <c r="Q39" s="27" t="n"/>
      <c r="R39" s="27" t="n"/>
      <c r="S39" s="27" t="n"/>
      <c r="T39" s="27" t="n"/>
      <c r="U39" s="27" t="n"/>
      <c r="V39" s="28">
        <f>IF(A39="","",IF(COUNTIF($A$5:$A$154,A39)&gt;1,"DUPLICATE","UNIQUE"))</f>
        <v/>
      </c>
      <c r="W39" s="28">
        <f>IF(A39="","",IF(T39="Rejected","REJECTED",IF(AND(B39&lt;&gt;"",C39&lt;&gt;"",D39&lt;&gt;"",E39&lt;&gt;"",F39&lt;&gt;"",G39&lt;&gt;"",H39&lt;&gt;"",I39&lt;&gt;"",J39&lt;&gt;"",M39&lt;&gt;"",O39&lt;&gt;"",T39&lt;&gt;""),"COMPLETE","MISSING FIELDS")))</f>
        <v/>
      </c>
    </row>
    <row r="40" ht="15" customHeight="1" s="15">
      <c r="A40" s="27" t="n"/>
      <c r="B40" s="27" t="n"/>
      <c r="C40" s="27" t="n"/>
      <c r="D40" s="27" t="n"/>
      <c r="E40" s="27" t="n"/>
      <c r="F40" s="27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27" t="n"/>
      <c r="S40" s="27" t="n"/>
      <c r="T40" s="27" t="n"/>
      <c r="U40" s="27" t="n"/>
      <c r="V40" s="28">
        <f>IF(A40="","",IF(COUNTIF($A$5:$A$154,A40)&gt;1,"DUPLICATE","UNIQUE"))</f>
        <v/>
      </c>
      <c r="W40" s="28">
        <f>IF(A40="","",IF(T40="Rejected","REJECTED",IF(AND(B40&lt;&gt;"",C40&lt;&gt;"",D40&lt;&gt;"",E40&lt;&gt;"",F40&lt;&gt;"",G40&lt;&gt;"",H40&lt;&gt;"",I40&lt;&gt;"",J40&lt;&gt;"",M40&lt;&gt;"",O40&lt;&gt;"",T40&lt;&gt;""),"COMPLETE","MISSING FIELDS")))</f>
        <v/>
      </c>
    </row>
    <row r="41" ht="15" customHeight="1" s="15">
      <c r="A41" s="27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  <c r="T41" s="27" t="n"/>
      <c r="U41" s="27" t="n"/>
      <c r="V41" s="28">
        <f>IF(A41="","",IF(COUNTIF($A$5:$A$154,A41)&gt;1,"DUPLICATE","UNIQUE"))</f>
        <v/>
      </c>
      <c r="W41" s="28">
        <f>IF(A41="","",IF(T41="Rejected","REJECTED",IF(AND(B41&lt;&gt;"",C41&lt;&gt;"",D41&lt;&gt;"",E41&lt;&gt;"",F41&lt;&gt;"",G41&lt;&gt;"",H41&lt;&gt;"",I41&lt;&gt;"",J41&lt;&gt;"",M41&lt;&gt;"",O41&lt;&gt;"",T41&lt;&gt;""),"COMPLETE","MISSING FIELDS")))</f>
        <v/>
      </c>
    </row>
    <row r="42" ht="15" customHeight="1" s="15">
      <c r="A42" s="27" t="n"/>
      <c r="B42" s="27" t="n"/>
      <c r="C42" s="27" t="n"/>
      <c r="D42" s="27" t="n"/>
      <c r="E42" s="27" t="n"/>
      <c r="F42" s="27" t="n"/>
      <c r="G42" s="27" t="n"/>
      <c r="H42" s="27" t="n"/>
      <c r="I42" s="27" t="n"/>
      <c r="J42" s="27" t="n"/>
      <c r="K42" s="27" t="n"/>
      <c r="L42" s="27" t="n"/>
      <c r="M42" s="27" t="n"/>
      <c r="N42" s="27" t="n"/>
      <c r="O42" s="27" t="n"/>
      <c r="P42" s="27" t="n"/>
      <c r="Q42" s="27" t="n"/>
      <c r="R42" s="27" t="n"/>
      <c r="S42" s="27" t="n"/>
      <c r="T42" s="27" t="n"/>
      <c r="U42" s="27" t="n"/>
      <c r="V42" s="28">
        <f>IF(A42="","",IF(COUNTIF($A$5:$A$154,A42)&gt;1,"DUPLICATE","UNIQUE"))</f>
        <v/>
      </c>
      <c r="W42" s="28">
        <f>IF(A42="","",IF(T42="Rejected","REJECTED",IF(AND(B42&lt;&gt;"",C42&lt;&gt;"",D42&lt;&gt;"",E42&lt;&gt;"",F42&lt;&gt;"",G42&lt;&gt;"",H42&lt;&gt;"",I42&lt;&gt;"",J42&lt;&gt;"",M42&lt;&gt;"",O42&lt;&gt;"",T42&lt;&gt;""),"COMPLETE","MISSING FIELDS")))</f>
        <v/>
      </c>
    </row>
    <row r="43" ht="15" customHeight="1" s="15">
      <c r="A43" s="27" t="n"/>
      <c r="B43" s="27" t="n"/>
      <c r="C43" s="27" t="n"/>
      <c r="D43" s="27" t="n"/>
      <c r="E43" s="27" t="n"/>
      <c r="F43" s="27" t="n"/>
      <c r="G43" s="27" t="n"/>
      <c r="H43" s="27" t="n"/>
      <c r="I43" s="27" t="n"/>
      <c r="J43" s="27" t="n"/>
      <c r="K43" s="27" t="n"/>
      <c r="L43" s="27" t="n"/>
      <c r="M43" s="27" t="n"/>
      <c r="N43" s="27" t="n"/>
      <c r="O43" s="27" t="n"/>
      <c r="P43" s="27" t="n"/>
      <c r="Q43" s="27" t="n"/>
      <c r="R43" s="27" t="n"/>
      <c r="S43" s="27" t="n"/>
      <c r="T43" s="27" t="n"/>
      <c r="U43" s="27" t="n"/>
      <c r="V43" s="28">
        <f>IF(A43="","",IF(COUNTIF($A$5:$A$154,A43)&gt;1,"DUPLICATE","UNIQUE"))</f>
        <v/>
      </c>
      <c r="W43" s="28">
        <f>IF(A43="","",IF(T43="Rejected","REJECTED",IF(AND(B43&lt;&gt;"",C43&lt;&gt;"",D43&lt;&gt;"",E43&lt;&gt;"",F43&lt;&gt;"",G43&lt;&gt;"",H43&lt;&gt;"",I43&lt;&gt;"",J43&lt;&gt;"",M43&lt;&gt;"",O43&lt;&gt;"",T43&lt;&gt;""),"COMPLETE","MISSING FIELDS")))</f>
        <v/>
      </c>
    </row>
    <row r="44" ht="15" customHeight="1" s="15">
      <c r="A44" s="27" t="n"/>
      <c r="B44" s="27" t="n"/>
      <c r="C44" s="27" t="n"/>
      <c r="D44" s="27" t="n"/>
      <c r="E44" s="27" t="n"/>
      <c r="F44" s="27" t="n"/>
      <c r="G44" s="27" t="n"/>
      <c r="H44" s="27" t="n"/>
      <c r="I44" s="27" t="n"/>
      <c r="J44" s="27" t="n"/>
      <c r="K44" s="27" t="n"/>
      <c r="L44" s="27" t="n"/>
      <c r="M44" s="27" t="n"/>
      <c r="N44" s="27" t="n"/>
      <c r="O44" s="27" t="n"/>
      <c r="P44" s="27" t="n"/>
      <c r="Q44" s="27" t="n"/>
      <c r="R44" s="27" t="n"/>
      <c r="S44" s="27" t="n"/>
      <c r="T44" s="27" t="n"/>
      <c r="U44" s="27" t="n"/>
      <c r="V44" s="28">
        <f>IF(A44="","",IF(COUNTIF($A$5:$A$154,A44)&gt;1,"DUPLICATE","UNIQUE"))</f>
        <v/>
      </c>
      <c r="W44" s="28">
        <f>IF(A44="","",IF(T44="Rejected","REJECTED",IF(AND(B44&lt;&gt;"",C44&lt;&gt;"",D44&lt;&gt;"",E44&lt;&gt;"",F44&lt;&gt;"",G44&lt;&gt;"",H44&lt;&gt;"",I44&lt;&gt;"",J44&lt;&gt;"",M44&lt;&gt;"",O44&lt;&gt;"",T44&lt;&gt;""),"COMPLETE","MISSING FIELDS")))</f>
        <v/>
      </c>
    </row>
    <row r="45" ht="15" customHeight="1" s="15">
      <c r="A45" s="27" t="n"/>
      <c r="B45" s="27" t="n"/>
      <c r="C45" s="27" t="n"/>
      <c r="D45" s="27" t="n"/>
      <c r="E45" s="27" t="n"/>
      <c r="F45" s="27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27" t="n"/>
      <c r="S45" s="27" t="n"/>
      <c r="T45" s="27" t="n"/>
      <c r="U45" s="27" t="n"/>
      <c r="V45" s="28">
        <f>IF(A45="","",IF(COUNTIF($A$5:$A$154,A45)&gt;1,"DUPLICATE","UNIQUE"))</f>
        <v/>
      </c>
      <c r="W45" s="28">
        <f>IF(A45="","",IF(T45="Rejected","REJECTED",IF(AND(B45&lt;&gt;"",C45&lt;&gt;"",D45&lt;&gt;"",E45&lt;&gt;"",F45&lt;&gt;"",G45&lt;&gt;"",H45&lt;&gt;"",I45&lt;&gt;"",J45&lt;&gt;"",M45&lt;&gt;"",O45&lt;&gt;"",T45&lt;&gt;""),"COMPLETE","MISSING FIELDS")))</f>
        <v/>
      </c>
    </row>
    <row r="46" ht="15" customHeight="1" s="15">
      <c r="A46" s="27" t="n"/>
      <c r="B46" s="27" t="n"/>
      <c r="C46" s="27" t="n"/>
      <c r="D46" s="27" t="n"/>
      <c r="E46" s="27" t="n"/>
      <c r="F46" s="27" t="n"/>
      <c r="G46" s="27" t="n"/>
      <c r="H46" s="27" t="n"/>
      <c r="I46" s="27" t="n"/>
      <c r="J46" s="27" t="n"/>
      <c r="K46" s="27" t="n"/>
      <c r="L46" s="27" t="n"/>
      <c r="M46" s="27" t="n"/>
      <c r="N46" s="27" t="n"/>
      <c r="O46" s="27" t="n"/>
      <c r="P46" s="27" t="n"/>
      <c r="Q46" s="27" t="n"/>
      <c r="R46" s="27" t="n"/>
      <c r="S46" s="27" t="n"/>
      <c r="T46" s="27" t="n"/>
      <c r="U46" s="27" t="n"/>
      <c r="V46" s="28">
        <f>IF(A46="","",IF(COUNTIF($A$5:$A$154,A46)&gt;1,"DUPLICATE","UNIQUE"))</f>
        <v/>
      </c>
      <c r="W46" s="28">
        <f>IF(A46="","",IF(T46="Rejected","REJECTED",IF(AND(B46&lt;&gt;"",C46&lt;&gt;"",D46&lt;&gt;"",E46&lt;&gt;"",F46&lt;&gt;"",G46&lt;&gt;"",H46&lt;&gt;"",I46&lt;&gt;"",J46&lt;&gt;"",M46&lt;&gt;"",O46&lt;&gt;"",T46&lt;&gt;""),"COMPLETE","MISSING FIELDS")))</f>
        <v/>
      </c>
    </row>
    <row r="47" ht="15" customHeight="1" s="15">
      <c r="A47" s="27" t="n"/>
      <c r="B47" s="27" t="n"/>
      <c r="C47" s="27" t="n"/>
      <c r="D47" s="27" t="n"/>
      <c r="E47" s="27" t="n"/>
      <c r="F47" s="27" t="n"/>
      <c r="G47" s="27" t="n"/>
      <c r="H47" s="27" t="n"/>
      <c r="I47" s="27" t="n"/>
      <c r="J47" s="27" t="n"/>
      <c r="K47" s="27" t="n"/>
      <c r="L47" s="27" t="n"/>
      <c r="M47" s="27" t="n"/>
      <c r="N47" s="27" t="n"/>
      <c r="O47" s="27" t="n"/>
      <c r="P47" s="27" t="n"/>
      <c r="Q47" s="27" t="n"/>
      <c r="R47" s="27" t="n"/>
      <c r="S47" s="27" t="n"/>
      <c r="T47" s="27" t="n"/>
      <c r="U47" s="27" t="n"/>
      <c r="V47" s="28">
        <f>IF(A47="","",IF(COUNTIF($A$5:$A$154,A47)&gt;1,"DUPLICATE","UNIQUE"))</f>
        <v/>
      </c>
      <c r="W47" s="28">
        <f>IF(A47="","",IF(T47="Rejected","REJECTED",IF(AND(B47&lt;&gt;"",C47&lt;&gt;"",D47&lt;&gt;"",E47&lt;&gt;"",F47&lt;&gt;"",G47&lt;&gt;"",H47&lt;&gt;"",I47&lt;&gt;"",J47&lt;&gt;"",M47&lt;&gt;"",O47&lt;&gt;"",T47&lt;&gt;""),"COMPLETE","MISSING FIELDS")))</f>
        <v/>
      </c>
    </row>
    <row r="48" ht="15" customHeight="1" s="15">
      <c r="A48" s="27" t="n"/>
      <c r="B48" s="27" t="n"/>
      <c r="C48" s="27" t="n"/>
      <c r="D48" s="27" t="n"/>
      <c r="E48" s="27" t="n"/>
      <c r="F48" s="27" t="n"/>
      <c r="G48" s="27" t="n"/>
      <c r="H48" s="27" t="n"/>
      <c r="I48" s="27" t="n"/>
      <c r="J48" s="27" t="n"/>
      <c r="K48" s="27" t="n"/>
      <c r="L48" s="27" t="n"/>
      <c r="M48" s="27" t="n"/>
      <c r="N48" s="27" t="n"/>
      <c r="O48" s="27" t="n"/>
      <c r="P48" s="27" t="n"/>
      <c r="Q48" s="27" t="n"/>
      <c r="R48" s="27" t="n"/>
      <c r="S48" s="27" t="n"/>
      <c r="T48" s="27" t="n"/>
      <c r="U48" s="27" t="n"/>
      <c r="V48" s="28">
        <f>IF(A48="","",IF(COUNTIF($A$5:$A$154,A48)&gt;1,"DUPLICATE","UNIQUE"))</f>
        <v/>
      </c>
      <c r="W48" s="28">
        <f>IF(A48="","",IF(T48="Rejected","REJECTED",IF(AND(B48&lt;&gt;"",C48&lt;&gt;"",D48&lt;&gt;"",E48&lt;&gt;"",F48&lt;&gt;"",G48&lt;&gt;"",H48&lt;&gt;"",I48&lt;&gt;"",J48&lt;&gt;"",M48&lt;&gt;"",O48&lt;&gt;"",T48&lt;&gt;""),"COMPLETE","MISSING FIELDS")))</f>
        <v/>
      </c>
    </row>
    <row r="49" ht="15" customHeight="1" s="15">
      <c r="A49" s="27" t="n"/>
      <c r="B49" s="27" t="n"/>
      <c r="C49" s="27" t="n"/>
      <c r="D49" s="27" t="n"/>
      <c r="E49" s="27" t="n"/>
      <c r="F49" s="27" t="n"/>
      <c r="G49" s="27" t="n"/>
      <c r="H49" s="27" t="n"/>
      <c r="I49" s="27" t="n"/>
      <c r="J49" s="27" t="n"/>
      <c r="K49" s="27" t="n"/>
      <c r="L49" s="27" t="n"/>
      <c r="M49" s="27" t="n"/>
      <c r="N49" s="27" t="n"/>
      <c r="O49" s="27" t="n"/>
      <c r="P49" s="27" t="n"/>
      <c r="Q49" s="27" t="n"/>
      <c r="R49" s="27" t="n"/>
      <c r="S49" s="27" t="n"/>
      <c r="T49" s="27" t="n"/>
      <c r="U49" s="27" t="n"/>
      <c r="V49" s="28">
        <f>IF(A49="","",IF(COUNTIF($A$5:$A$154,A49)&gt;1,"DUPLICATE","UNIQUE"))</f>
        <v/>
      </c>
      <c r="W49" s="28">
        <f>IF(A49="","",IF(T49="Rejected","REJECTED",IF(AND(B49&lt;&gt;"",C49&lt;&gt;"",D49&lt;&gt;"",E49&lt;&gt;"",F49&lt;&gt;"",G49&lt;&gt;"",H49&lt;&gt;"",I49&lt;&gt;"",J49&lt;&gt;"",M49&lt;&gt;"",O49&lt;&gt;"",T49&lt;&gt;""),"COMPLETE","MISSING FIELDS")))</f>
        <v/>
      </c>
    </row>
    <row r="50" ht="15" customHeight="1" s="15">
      <c r="A50" s="27" t="n"/>
      <c r="B50" s="27" t="n"/>
      <c r="C50" s="27" t="n"/>
      <c r="D50" s="27" t="n"/>
      <c r="E50" s="27" t="n"/>
      <c r="F50" s="27" t="n"/>
      <c r="G50" s="27" t="n"/>
      <c r="H50" s="27" t="n"/>
      <c r="I50" s="27" t="n"/>
      <c r="J50" s="27" t="n"/>
      <c r="K50" s="27" t="n"/>
      <c r="L50" s="27" t="n"/>
      <c r="M50" s="27" t="n"/>
      <c r="N50" s="27" t="n"/>
      <c r="O50" s="27" t="n"/>
      <c r="P50" s="27" t="n"/>
      <c r="Q50" s="27" t="n"/>
      <c r="R50" s="27" t="n"/>
      <c r="S50" s="27" t="n"/>
      <c r="T50" s="27" t="n"/>
      <c r="U50" s="27" t="n"/>
      <c r="V50" s="28">
        <f>IF(A50="","",IF(COUNTIF($A$5:$A$154,A50)&gt;1,"DUPLICATE","UNIQUE"))</f>
        <v/>
      </c>
      <c r="W50" s="28">
        <f>IF(A50="","",IF(T50="Rejected","REJECTED",IF(AND(B50&lt;&gt;"",C50&lt;&gt;"",D50&lt;&gt;"",E50&lt;&gt;"",F50&lt;&gt;"",G50&lt;&gt;"",H50&lt;&gt;"",I50&lt;&gt;"",J50&lt;&gt;"",M50&lt;&gt;"",O50&lt;&gt;"",T50&lt;&gt;""),"COMPLETE","MISSING FIELDS")))</f>
        <v/>
      </c>
    </row>
    <row r="51" ht="15" customHeight="1" s="15">
      <c r="A51" s="27" t="n"/>
      <c r="B51" s="27" t="n"/>
      <c r="C51" s="27" t="n"/>
      <c r="D51" s="27" t="n"/>
      <c r="E51" s="27" t="n"/>
      <c r="F51" s="27" t="n"/>
      <c r="G51" s="27" t="n"/>
      <c r="H51" s="27" t="n"/>
      <c r="I51" s="27" t="n"/>
      <c r="J51" s="27" t="n"/>
      <c r="K51" s="27" t="n"/>
      <c r="L51" s="27" t="n"/>
      <c r="M51" s="27" t="n"/>
      <c r="N51" s="27" t="n"/>
      <c r="O51" s="27" t="n"/>
      <c r="P51" s="27" t="n"/>
      <c r="Q51" s="27" t="n"/>
      <c r="R51" s="27" t="n"/>
      <c r="S51" s="27" t="n"/>
      <c r="T51" s="27" t="n"/>
      <c r="U51" s="27" t="n"/>
      <c r="V51" s="28">
        <f>IF(A51="","",IF(COUNTIF($A$5:$A$154,A51)&gt;1,"DUPLICATE","UNIQUE"))</f>
        <v/>
      </c>
      <c r="W51" s="28">
        <f>IF(A51="","",IF(T51="Rejected","REJECTED",IF(AND(B51&lt;&gt;"",C51&lt;&gt;"",D51&lt;&gt;"",E51&lt;&gt;"",F51&lt;&gt;"",G51&lt;&gt;"",H51&lt;&gt;"",I51&lt;&gt;"",J51&lt;&gt;"",M51&lt;&gt;"",O51&lt;&gt;"",T51&lt;&gt;""),"COMPLETE","MISSING FIELDS")))</f>
        <v/>
      </c>
    </row>
    <row r="52" ht="15" customHeight="1" s="15">
      <c r="A52" s="27" t="n"/>
      <c r="B52" s="27" t="n"/>
      <c r="C52" s="27" t="n"/>
      <c r="D52" s="27" t="n"/>
      <c r="E52" s="27" t="n"/>
      <c r="F52" s="27" t="n"/>
      <c r="G52" s="27" t="n"/>
      <c r="H52" s="27" t="n"/>
      <c r="I52" s="27" t="n"/>
      <c r="J52" s="27" t="n"/>
      <c r="K52" s="27" t="n"/>
      <c r="L52" s="27" t="n"/>
      <c r="M52" s="27" t="n"/>
      <c r="N52" s="27" t="n"/>
      <c r="O52" s="27" t="n"/>
      <c r="P52" s="27" t="n"/>
      <c r="Q52" s="27" t="n"/>
      <c r="R52" s="27" t="n"/>
      <c r="S52" s="27" t="n"/>
      <c r="T52" s="27" t="n"/>
      <c r="U52" s="27" t="n"/>
      <c r="V52" s="28">
        <f>IF(A52="","",IF(COUNTIF($A$5:$A$154,A52)&gt;1,"DUPLICATE","UNIQUE"))</f>
        <v/>
      </c>
      <c r="W52" s="28">
        <f>IF(A52="","",IF(T52="Rejected","REJECTED",IF(AND(B52&lt;&gt;"",C52&lt;&gt;"",D52&lt;&gt;"",E52&lt;&gt;"",F52&lt;&gt;"",G52&lt;&gt;"",H52&lt;&gt;"",I52&lt;&gt;"",J52&lt;&gt;"",M52&lt;&gt;"",O52&lt;&gt;"",T52&lt;&gt;""),"COMPLETE","MISSING FIELDS")))</f>
        <v/>
      </c>
    </row>
    <row r="53" ht="15" customHeight="1" s="15">
      <c r="A53" s="27" t="n"/>
      <c r="B53" s="27" t="n"/>
      <c r="C53" s="27" t="n"/>
      <c r="D53" s="27" t="n"/>
      <c r="E53" s="27" t="n"/>
      <c r="F53" s="27" t="n"/>
      <c r="G53" s="27" t="n"/>
      <c r="H53" s="27" t="n"/>
      <c r="I53" s="27" t="n"/>
      <c r="J53" s="27" t="n"/>
      <c r="K53" s="27" t="n"/>
      <c r="L53" s="27" t="n"/>
      <c r="M53" s="27" t="n"/>
      <c r="N53" s="27" t="n"/>
      <c r="O53" s="27" t="n"/>
      <c r="P53" s="27" t="n"/>
      <c r="Q53" s="27" t="n"/>
      <c r="R53" s="27" t="n"/>
      <c r="S53" s="27" t="n"/>
      <c r="T53" s="27" t="n"/>
      <c r="U53" s="27" t="n"/>
      <c r="V53" s="28">
        <f>IF(A53="","",IF(COUNTIF($A$5:$A$154,A53)&gt;1,"DUPLICATE","UNIQUE"))</f>
        <v/>
      </c>
      <c r="W53" s="28">
        <f>IF(A53="","",IF(T53="Rejected","REJECTED",IF(AND(B53&lt;&gt;"",C53&lt;&gt;"",D53&lt;&gt;"",E53&lt;&gt;"",F53&lt;&gt;"",G53&lt;&gt;"",H53&lt;&gt;"",I53&lt;&gt;"",J53&lt;&gt;"",M53&lt;&gt;"",O53&lt;&gt;"",T53&lt;&gt;""),"COMPLETE","MISSING FIELDS")))</f>
        <v/>
      </c>
    </row>
    <row r="54" ht="15" customHeight="1" s="15">
      <c r="A54" s="27" t="n"/>
      <c r="B54" s="27" t="n"/>
      <c r="C54" s="27" t="n"/>
      <c r="D54" s="27" t="n"/>
      <c r="E54" s="27" t="n"/>
      <c r="F54" s="27" t="n"/>
      <c r="G54" s="27" t="n"/>
      <c r="H54" s="27" t="n"/>
      <c r="I54" s="27" t="n"/>
      <c r="J54" s="27" t="n"/>
      <c r="K54" s="27" t="n"/>
      <c r="L54" s="27" t="n"/>
      <c r="M54" s="27" t="n"/>
      <c r="N54" s="27" t="n"/>
      <c r="O54" s="27" t="n"/>
      <c r="P54" s="27" t="n"/>
      <c r="Q54" s="27" t="n"/>
      <c r="R54" s="27" t="n"/>
      <c r="S54" s="27" t="n"/>
      <c r="T54" s="27" t="n"/>
      <c r="U54" s="27" t="n"/>
      <c r="V54" s="28">
        <f>IF(A54="","",IF(COUNTIF($A$5:$A$154,A54)&gt;1,"DUPLICATE","UNIQUE"))</f>
        <v/>
      </c>
      <c r="W54" s="28">
        <f>IF(A54="","",IF(T54="Rejected","REJECTED",IF(AND(B54&lt;&gt;"",C54&lt;&gt;"",D54&lt;&gt;"",E54&lt;&gt;"",F54&lt;&gt;"",G54&lt;&gt;"",H54&lt;&gt;"",I54&lt;&gt;"",J54&lt;&gt;"",M54&lt;&gt;"",O54&lt;&gt;"",T54&lt;&gt;""),"COMPLETE","MISSING FIELDS")))</f>
        <v/>
      </c>
    </row>
    <row r="55" ht="15" customHeight="1" s="15">
      <c r="A55" s="27" t="n"/>
      <c r="B55" s="27" t="n"/>
      <c r="C55" s="27" t="n"/>
      <c r="D55" s="27" t="n"/>
      <c r="E55" s="27" t="n"/>
      <c r="F55" s="27" t="n"/>
      <c r="G55" s="27" t="n"/>
      <c r="H55" s="27" t="n"/>
      <c r="I55" s="27" t="n"/>
      <c r="J55" s="27" t="n"/>
      <c r="K55" s="27" t="n"/>
      <c r="L55" s="27" t="n"/>
      <c r="M55" s="27" t="n"/>
      <c r="N55" s="27" t="n"/>
      <c r="O55" s="27" t="n"/>
      <c r="P55" s="27" t="n"/>
      <c r="Q55" s="27" t="n"/>
      <c r="R55" s="27" t="n"/>
      <c r="S55" s="27" t="n"/>
      <c r="T55" s="27" t="n"/>
      <c r="U55" s="27" t="n"/>
      <c r="V55" s="28">
        <f>IF(A55="","",IF(COUNTIF($A$5:$A$154,A55)&gt;1,"DUPLICATE","UNIQUE"))</f>
        <v/>
      </c>
      <c r="W55" s="28">
        <f>IF(A55="","",IF(T55="Rejected","REJECTED",IF(AND(B55&lt;&gt;"",C55&lt;&gt;"",D55&lt;&gt;"",E55&lt;&gt;"",F55&lt;&gt;"",G55&lt;&gt;"",H55&lt;&gt;"",I55&lt;&gt;"",J55&lt;&gt;"",M55&lt;&gt;"",O55&lt;&gt;"",T55&lt;&gt;""),"COMPLETE","MISSING FIELDS")))</f>
        <v/>
      </c>
    </row>
    <row r="56" ht="15" customHeight="1" s="15">
      <c r="A56" s="27" t="n"/>
      <c r="B56" s="27" t="n"/>
      <c r="C56" s="27" t="n"/>
      <c r="D56" s="27" t="n"/>
      <c r="E56" s="27" t="n"/>
      <c r="F56" s="27" t="n"/>
      <c r="G56" s="27" t="n"/>
      <c r="H56" s="27" t="n"/>
      <c r="I56" s="27" t="n"/>
      <c r="J56" s="27" t="n"/>
      <c r="K56" s="27" t="n"/>
      <c r="L56" s="27" t="n"/>
      <c r="M56" s="27" t="n"/>
      <c r="N56" s="27" t="n"/>
      <c r="O56" s="27" t="n"/>
      <c r="P56" s="27" t="n"/>
      <c r="Q56" s="27" t="n"/>
      <c r="R56" s="27" t="n"/>
      <c r="S56" s="27" t="n"/>
      <c r="T56" s="27" t="n"/>
      <c r="U56" s="27" t="n"/>
      <c r="V56" s="28">
        <f>IF(A56="","",IF(COUNTIF($A$5:$A$154,A56)&gt;1,"DUPLICATE","UNIQUE"))</f>
        <v/>
      </c>
      <c r="W56" s="28">
        <f>IF(A56="","",IF(T56="Rejected","REJECTED",IF(AND(B56&lt;&gt;"",C56&lt;&gt;"",D56&lt;&gt;"",E56&lt;&gt;"",F56&lt;&gt;"",G56&lt;&gt;"",H56&lt;&gt;"",I56&lt;&gt;"",J56&lt;&gt;"",M56&lt;&gt;"",O56&lt;&gt;"",T56&lt;&gt;""),"COMPLETE","MISSING FIELDS")))</f>
        <v/>
      </c>
    </row>
    <row r="57" ht="15" customHeight="1" s="15">
      <c r="A57" s="27" t="n"/>
      <c r="B57" s="27" t="n"/>
      <c r="C57" s="27" t="n"/>
      <c r="D57" s="27" t="n"/>
      <c r="E57" s="27" t="n"/>
      <c r="F57" s="27" t="n"/>
      <c r="G57" s="27" t="n"/>
      <c r="H57" s="27" t="n"/>
      <c r="I57" s="27" t="n"/>
      <c r="J57" s="27" t="n"/>
      <c r="K57" s="27" t="n"/>
      <c r="L57" s="27" t="n"/>
      <c r="M57" s="27" t="n"/>
      <c r="N57" s="27" t="n"/>
      <c r="O57" s="27" t="n"/>
      <c r="P57" s="27" t="n"/>
      <c r="Q57" s="27" t="n"/>
      <c r="R57" s="27" t="n"/>
      <c r="S57" s="27" t="n"/>
      <c r="T57" s="27" t="n"/>
      <c r="U57" s="27" t="n"/>
      <c r="V57" s="28">
        <f>IF(A57="","",IF(COUNTIF($A$5:$A$154,A57)&gt;1,"DUPLICATE","UNIQUE"))</f>
        <v/>
      </c>
      <c r="W57" s="28">
        <f>IF(A57="","",IF(T57="Rejected","REJECTED",IF(AND(B57&lt;&gt;"",C57&lt;&gt;"",D57&lt;&gt;"",E57&lt;&gt;"",F57&lt;&gt;"",G57&lt;&gt;"",H57&lt;&gt;"",I57&lt;&gt;"",J57&lt;&gt;"",M57&lt;&gt;"",O57&lt;&gt;"",T57&lt;&gt;""),"COMPLETE","MISSING FIELDS")))</f>
        <v/>
      </c>
    </row>
    <row r="58" ht="15" customHeight="1" s="15">
      <c r="A58" s="27" t="n"/>
      <c r="B58" s="27" t="n"/>
      <c r="C58" s="27" t="n"/>
      <c r="D58" s="27" t="n"/>
      <c r="E58" s="27" t="n"/>
      <c r="F58" s="27" t="n"/>
      <c r="G58" s="27" t="n"/>
      <c r="H58" s="27" t="n"/>
      <c r="I58" s="27" t="n"/>
      <c r="J58" s="27" t="n"/>
      <c r="K58" s="27" t="n"/>
      <c r="L58" s="27" t="n"/>
      <c r="M58" s="27" t="n"/>
      <c r="N58" s="27" t="n"/>
      <c r="O58" s="27" t="n"/>
      <c r="P58" s="27" t="n"/>
      <c r="Q58" s="27" t="n"/>
      <c r="R58" s="27" t="n"/>
      <c r="S58" s="27" t="n"/>
      <c r="T58" s="27" t="n"/>
      <c r="U58" s="27" t="n"/>
      <c r="V58" s="28">
        <f>IF(A58="","",IF(COUNTIF($A$5:$A$154,A58)&gt;1,"DUPLICATE","UNIQUE"))</f>
        <v/>
      </c>
      <c r="W58" s="28">
        <f>IF(A58="","",IF(T58="Rejected","REJECTED",IF(AND(B58&lt;&gt;"",C58&lt;&gt;"",D58&lt;&gt;"",E58&lt;&gt;"",F58&lt;&gt;"",G58&lt;&gt;"",H58&lt;&gt;"",I58&lt;&gt;"",J58&lt;&gt;"",M58&lt;&gt;"",O58&lt;&gt;"",T58&lt;&gt;""),"COMPLETE","MISSING FIELDS")))</f>
        <v/>
      </c>
    </row>
    <row r="59" ht="15" customHeight="1" s="15">
      <c r="A59" s="27" t="n"/>
      <c r="B59" s="27" t="n"/>
      <c r="C59" s="27" t="n"/>
      <c r="D59" s="27" t="n"/>
      <c r="E59" s="27" t="n"/>
      <c r="F59" s="27" t="n"/>
      <c r="G59" s="27" t="n"/>
      <c r="H59" s="27" t="n"/>
      <c r="I59" s="27" t="n"/>
      <c r="J59" s="27" t="n"/>
      <c r="K59" s="27" t="n"/>
      <c r="L59" s="27" t="n"/>
      <c r="M59" s="27" t="n"/>
      <c r="N59" s="27" t="n"/>
      <c r="O59" s="27" t="n"/>
      <c r="P59" s="27" t="n"/>
      <c r="Q59" s="27" t="n"/>
      <c r="R59" s="27" t="n"/>
      <c r="S59" s="27" t="n"/>
      <c r="T59" s="27" t="n"/>
      <c r="U59" s="27" t="n"/>
      <c r="V59" s="28">
        <f>IF(A59="","",IF(COUNTIF($A$5:$A$154,A59)&gt;1,"DUPLICATE","UNIQUE"))</f>
        <v/>
      </c>
      <c r="W59" s="28">
        <f>IF(A59="","",IF(T59="Rejected","REJECTED",IF(AND(B59&lt;&gt;"",C59&lt;&gt;"",D59&lt;&gt;"",E59&lt;&gt;"",F59&lt;&gt;"",G59&lt;&gt;"",H59&lt;&gt;"",I59&lt;&gt;"",J59&lt;&gt;"",M59&lt;&gt;"",O59&lt;&gt;"",T59&lt;&gt;""),"COMPLETE","MISSING FIELDS")))</f>
        <v/>
      </c>
    </row>
    <row r="60" ht="15" customHeight="1" s="15">
      <c r="A60" s="27" t="n"/>
      <c r="B60" s="27" t="n"/>
      <c r="C60" s="27" t="n"/>
      <c r="D60" s="27" t="n"/>
      <c r="E60" s="27" t="n"/>
      <c r="F60" s="27" t="n"/>
      <c r="G60" s="27" t="n"/>
      <c r="H60" s="27" t="n"/>
      <c r="I60" s="27" t="n"/>
      <c r="J60" s="27" t="n"/>
      <c r="K60" s="27" t="n"/>
      <c r="L60" s="27" t="n"/>
      <c r="M60" s="27" t="n"/>
      <c r="N60" s="27" t="n"/>
      <c r="O60" s="27" t="n"/>
      <c r="P60" s="27" t="n"/>
      <c r="Q60" s="27" t="n"/>
      <c r="R60" s="27" t="n"/>
      <c r="S60" s="27" t="n"/>
      <c r="T60" s="27" t="n"/>
      <c r="U60" s="27" t="n"/>
      <c r="V60" s="28">
        <f>IF(A60="","",IF(COUNTIF($A$5:$A$154,A60)&gt;1,"DUPLICATE","UNIQUE"))</f>
        <v/>
      </c>
      <c r="W60" s="28">
        <f>IF(A60="","",IF(T60="Rejected","REJECTED",IF(AND(B60&lt;&gt;"",C60&lt;&gt;"",D60&lt;&gt;"",E60&lt;&gt;"",F60&lt;&gt;"",G60&lt;&gt;"",H60&lt;&gt;"",I60&lt;&gt;"",J60&lt;&gt;"",M60&lt;&gt;"",O60&lt;&gt;"",T60&lt;&gt;""),"COMPLETE","MISSING FIELDS")))</f>
        <v/>
      </c>
    </row>
    <row r="61" ht="15" customHeight="1" s="15">
      <c r="A61" s="27" t="n"/>
      <c r="B61" s="27" t="n"/>
      <c r="C61" s="27" t="n"/>
      <c r="D61" s="27" t="n"/>
      <c r="E61" s="27" t="n"/>
      <c r="F61" s="27" t="n"/>
      <c r="G61" s="27" t="n"/>
      <c r="H61" s="27" t="n"/>
      <c r="I61" s="27" t="n"/>
      <c r="J61" s="27" t="n"/>
      <c r="K61" s="27" t="n"/>
      <c r="L61" s="27" t="n"/>
      <c r="M61" s="27" t="n"/>
      <c r="N61" s="27" t="n"/>
      <c r="O61" s="27" t="n"/>
      <c r="P61" s="27" t="n"/>
      <c r="Q61" s="27" t="n"/>
      <c r="R61" s="27" t="n"/>
      <c r="S61" s="27" t="n"/>
      <c r="T61" s="27" t="n"/>
      <c r="U61" s="27" t="n"/>
      <c r="V61" s="28">
        <f>IF(A61="","",IF(COUNTIF($A$5:$A$154,A61)&gt;1,"DUPLICATE","UNIQUE"))</f>
        <v/>
      </c>
      <c r="W61" s="28">
        <f>IF(A61="","",IF(T61="Rejected","REJECTED",IF(AND(B61&lt;&gt;"",C61&lt;&gt;"",D61&lt;&gt;"",E61&lt;&gt;"",F61&lt;&gt;"",G61&lt;&gt;"",H61&lt;&gt;"",I61&lt;&gt;"",J61&lt;&gt;"",M61&lt;&gt;"",O61&lt;&gt;"",T61&lt;&gt;""),"COMPLETE","MISSING FIELDS")))</f>
        <v/>
      </c>
    </row>
    <row r="62" ht="15" customHeight="1" s="15">
      <c r="A62" s="27" t="n"/>
      <c r="B62" s="27" t="n"/>
      <c r="C62" s="27" t="n"/>
      <c r="D62" s="27" t="n"/>
      <c r="E62" s="27" t="n"/>
      <c r="F62" s="27" t="n"/>
      <c r="G62" s="27" t="n"/>
      <c r="H62" s="27" t="n"/>
      <c r="I62" s="27" t="n"/>
      <c r="J62" s="27" t="n"/>
      <c r="K62" s="27" t="n"/>
      <c r="L62" s="27" t="n"/>
      <c r="M62" s="27" t="n"/>
      <c r="N62" s="27" t="n"/>
      <c r="O62" s="27" t="n"/>
      <c r="P62" s="27" t="n"/>
      <c r="Q62" s="27" t="n"/>
      <c r="R62" s="27" t="n"/>
      <c r="S62" s="27" t="n"/>
      <c r="T62" s="27" t="n"/>
      <c r="U62" s="27" t="n"/>
      <c r="V62" s="28">
        <f>IF(A62="","",IF(COUNTIF($A$5:$A$154,A62)&gt;1,"DUPLICATE","UNIQUE"))</f>
        <v/>
      </c>
      <c r="W62" s="28">
        <f>IF(A62="","",IF(T62="Rejected","REJECTED",IF(AND(B62&lt;&gt;"",C62&lt;&gt;"",D62&lt;&gt;"",E62&lt;&gt;"",F62&lt;&gt;"",G62&lt;&gt;"",H62&lt;&gt;"",I62&lt;&gt;"",J62&lt;&gt;"",M62&lt;&gt;"",O62&lt;&gt;"",T62&lt;&gt;""),"COMPLETE","MISSING FIELDS")))</f>
        <v/>
      </c>
    </row>
    <row r="63" ht="15" customHeight="1" s="15">
      <c r="A63" s="27" t="n"/>
      <c r="B63" s="27" t="n"/>
      <c r="C63" s="27" t="n"/>
      <c r="D63" s="27" t="n"/>
      <c r="E63" s="27" t="n"/>
      <c r="F63" s="27" t="n"/>
      <c r="G63" s="27" t="n"/>
      <c r="H63" s="27" t="n"/>
      <c r="I63" s="27" t="n"/>
      <c r="J63" s="27" t="n"/>
      <c r="K63" s="27" t="n"/>
      <c r="L63" s="27" t="n"/>
      <c r="M63" s="27" t="n"/>
      <c r="N63" s="27" t="n"/>
      <c r="O63" s="27" t="n"/>
      <c r="P63" s="27" t="n"/>
      <c r="Q63" s="27" t="n"/>
      <c r="R63" s="27" t="n"/>
      <c r="S63" s="27" t="n"/>
      <c r="T63" s="27" t="n"/>
      <c r="U63" s="27" t="n"/>
      <c r="V63" s="28">
        <f>IF(A63="","",IF(COUNTIF($A$5:$A$154,A63)&gt;1,"DUPLICATE","UNIQUE"))</f>
        <v/>
      </c>
      <c r="W63" s="28">
        <f>IF(A63="","",IF(T63="Rejected","REJECTED",IF(AND(B63&lt;&gt;"",C63&lt;&gt;"",D63&lt;&gt;"",E63&lt;&gt;"",F63&lt;&gt;"",G63&lt;&gt;"",H63&lt;&gt;"",I63&lt;&gt;"",J63&lt;&gt;"",M63&lt;&gt;"",O63&lt;&gt;"",T63&lt;&gt;""),"COMPLETE","MISSING FIELDS")))</f>
        <v/>
      </c>
    </row>
    <row r="64" ht="15" customHeight="1" s="15">
      <c r="A64" s="27" t="n"/>
      <c r="B64" s="27" t="n"/>
      <c r="C64" s="27" t="n"/>
      <c r="D64" s="27" t="n"/>
      <c r="E64" s="27" t="n"/>
      <c r="F64" s="27" t="n"/>
      <c r="G64" s="27" t="n"/>
      <c r="H64" s="27" t="n"/>
      <c r="I64" s="27" t="n"/>
      <c r="J64" s="27" t="n"/>
      <c r="K64" s="27" t="n"/>
      <c r="L64" s="27" t="n"/>
      <c r="M64" s="27" t="n"/>
      <c r="N64" s="27" t="n"/>
      <c r="O64" s="27" t="n"/>
      <c r="P64" s="27" t="n"/>
      <c r="Q64" s="27" t="n"/>
      <c r="R64" s="27" t="n"/>
      <c r="S64" s="27" t="n"/>
      <c r="T64" s="27" t="n"/>
      <c r="U64" s="27" t="n"/>
      <c r="V64" s="28">
        <f>IF(A64="","",IF(COUNTIF($A$5:$A$154,A64)&gt;1,"DUPLICATE","UNIQUE"))</f>
        <v/>
      </c>
      <c r="W64" s="28">
        <f>IF(A64="","",IF(T64="Rejected","REJECTED",IF(AND(B64&lt;&gt;"",C64&lt;&gt;"",D64&lt;&gt;"",E64&lt;&gt;"",F64&lt;&gt;"",G64&lt;&gt;"",H64&lt;&gt;"",I64&lt;&gt;"",J64&lt;&gt;"",M64&lt;&gt;"",O64&lt;&gt;"",T64&lt;&gt;""),"COMPLETE","MISSING FIELDS")))</f>
        <v/>
      </c>
    </row>
    <row r="65" ht="15" customHeight="1" s="15">
      <c r="A65" s="27" t="n"/>
      <c r="B65" s="27" t="n"/>
      <c r="C65" s="27" t="n"/>
      <c r="D65" s="27" t="n"/>
      <c r="E65" s="27" t="n"/>
      <c r="F65" s="27" t="n"/>
      <c r="G65" s="27" t="n"/>
      <c r="H65" s="27" t="n"/>
      <c r="I65" s="27" t="n"/>
      <c r="J65" s="27" t="n"/>
      <c r="K65" s="27" t="n"/>
      <c r="L65" s="27" t="n"/>
      <c r="M65" s="27" t="n"/>
      <c r="N65" s="27" t="n"/>
      <c r="O65" s="27" t="n"/>
      <c r="P65" s="27" t="n"/>
      <c r="Q65" s="27" t="n"/>
      <c r="R65" s="27" t="n"/>
      <c r="S65" s="27" t="n"/>
      <c r="T65" s="27" t="n"/>
      <c r="U65" s="27" t="n"/>
      <c r="V65" s="28">
        <f>IF(A65="","",IF(COUNTIF($A$5:$A$154,A65)&gt;1,"DUPLICATE","UNIQUE"))</f>
        <v/>
      </c>
      <c r="W65" s="28">
        <f>IF(A65="","",IF(T65="Rejected","REJECTED",IF(AND(B65&lt;&gt;"",C65&lt;&gt;"",D65&lt;&gt;"",E65&lt;&gt;"",F65&lt;&gt;"",G65&lt;&gt;"",H65&lt;&gt;"",I65&lt;&gt;"",J65&lt;&gt;"",M65&lt;&gt;"",O65&lt;&gt;"",T65&lt;&gt;""),"COMPLETE","MISSING FIELDS")))</f>
        <v/>
      </c>
    </row>
    <row r="66" ht="15" customHeight="1" s="15">
      <c r="A66" s="27" t="n"/>
      <c r="B66" s="27" t="n"/>
      <c r="C66" s="27" t="n"/>
      <c r="D66" s="27" t="n"/>
      <c r="E66" s="27" t="n"/>
      <c r="F66" s="27" t="n"/>
      <c r="G66" s="27" t="n"/>
      <c r="H66" s="27" t="n"/>
      <c r="I66" s="27" t="n"/>
      <c r="J66" s="27" t="n"/>
      <c r="K66" s="27" t="n"/>
      <c r="L66" s="27" t="n"/>
      <c r="M66" s="27" t="n"/>
      <c r="N66" s="27" t="n"/>
      <c r="O66" s="27" t="n"/>
      <c r="P66" s="27" t="n"/>
      <c r="Q66" s="27" t="n"/>
      <c r="R66" s="27" t="n"/>
      <c r="S66" s="27" t="n"/>
      <c r="T66" s="27" t="n"/>
      <c r="U66" s="27" t="n"/>
      <c r="V66" s="28">
        <f>IF(A66="","",IF(COUNTIF($A$5:$A$154,A66)&gt;1,"DUPLICATE","UNIQUE"))</f>
        <v/>
      </c>
      <c r="W66" s="28">
        <f>IF(A66="","",IF(T66="Rejected","REJECTED",IF(AND(B66&lt;&gt;"",C66&lt;&gt;"",D66&lt;&gt;"",E66&lt;&gt;"",F66&lt;&gt;"",G66&lt;&gt;"",H66&lt;&gt;"",I66&lt;&gt;"",J66&lt;&gt;"",M66&lt;&gt;"",O66&lt;&gt;"",T66&lt;&gt;""),"COMPLETE","MISSING FIELDS")))</f>
        <v/>
      </c>
    </row>
    <row r="67" ht="15" customHeight="1" s="15">
      <c r="A67" s="27" t="n"/>
      <c r="B67" s="27" t="n"/>
      <c r="C67" s="27" t="n"/>
      <c r="D67" s="27" t="n"/>
      <c r="E67" s="27" t="n"/>
      <c r="F67" s="27" t="n"/>
      <c r="G67" s="27" t="n"/>
      <c r="H67" s="27" t="n"/>
      <c r="I67" s="27" t="n"/>
      <c r="J67" s="27" t="n"/>
      <c r="K67" s="27" t="n"/>
      <c r="L67" s="27" t="n"/>
      <c r="M67" s="27" t="n"/>
      <c r="N67" s="27" t="n"/>
      <c r="O67" s="27" t="n"/>
      <c r="P67" s="27" t="n"/>
      <c r="Q67" s="27" t="n"/>
      <c r="R67" s="27" t="n"/>
      <c r="S67" s="27" t="n"/>
      <c r="T67" s="27" t="n"/>
      <c r="U67" s="27" t="n"/>
      <c r="V67" s="28">
        <f>IF(A67="","",IF(COUNTIF($A$5:$A$154,A67)&gt;1,"DUPLICATE","UNIQUE"))</f>
        <v/>
      </c>
      <c r="W67" s="28">
        <f>IF(A67="","",IF(T67="Rejected","REJECTED",IF(AND(B67&lt;&gt;"",C67&lt;&gt;"",D67&lt;&gt;"",E67&lt;&gt;"",F67&lt;&gt;"",G67&lt;&gt;"",H67&lt;&gt;"",I67&lt;&gt;"",J67&lt;&gt;"",M67&lt;&gt;"",O67&lt;&gt;"",T67&lt;&gt;""),"COMPLETE","MISSING FIELDS")))</f>
        <v/>
      </c>
    </row>
    <row r="68" ht="15" customHeight="1" s="15">
      <c r="A68" s="27" t="n"/>
      <c r="B68" s="27" t="n"/>
      <c r="C68" s="27" t="n"/>
      <c r="D68" s="27" t="n"/>
      <c r="E68" s="27" t="n"/>
      <c r="F68" s="27" t="n"/>
      <c r="G68" s="27" t="n"/>
      <c r="H68" s="27" t="n"/>
      <c r="I68" s="27" t="n"/>
      <c r="J68" s="27" t="n"/>
      <c r="K68" s="27" t="n"/>
      <c r="L68" s="27" t="n"/>
      <c r="M68" s="27" t="n"/>
      <c r="N68" s="27" t="n"/>
      <c r="O68" s="27" t="n"/>
      <c r="P68" s="27" t="n"/>
      <c r="Q68" s="27" t="n"/>
      <c r="R68" s="27" t="n"/>
      <c r="S68" s="27" t="n"/>
      <c r="T68" s="27" t="n"/>
      <c r="U68" s="27" t="n"/>
      <c r="V68" s="28">
        <f>IF(A68="","",IF(COUNTIF($A$5:$A$154,A68)&gt;1,"DUPLICATE","UNIQUE"))</f>
        <v/>
      </c>
      <c r="W68" s="28">
        <f>IF(A68="","",IF(T68="Rejected","REJECTED",IF(AND(B68&lt;&gt;"",C68&lt;&gt;"",D68&lt;&gt;"",E68&lt;&gt;"",F68&lt;&gt;"",G68&lt;&gt;"",H68&lt;&gt;"",I68&lt;&gt;"",J68&lt;&gt;"",M68&lt;&gt;"",O68&lt;&gt;"",T68&lt;&gt;""),"COMPLETE","MISSING FIELDS")))</f>
        <v/>
      </c>
    </row>
    <row r="69" ht="15" customHeight="1" s="15">
      <c r="A69" s="27" t="n"/>
      <c r="B69" s="27" t="n"/>
      <c r="C69" s="27" t="n"/>
      <c r="D69" s="27" t="n"/>
      <c r="E69" s="27" t="n"/>
      <c r="F69" s="27" t="n"/>
      <c r="G69" s="27" t="n"/>
      <c r="H69" s="27" t="n"/>
      <c r="I69" s="27" t="n"/>
      <c r="J69" s="27" t="n"/>
      <c r="K69" s="27" t="n"/>
      <c r="L69" s="27" t="n"/>
      <c r="M69" s="27" t="n"/>
      <c r="N69" s="27" t="n"/>
      <c r="O69" s="27" t="n"/>
      <c r="P69" s="27" t="n"/>
      <c r="Q69" s="27" t="n"/>
      <c r="R69" s="27" t="n"/>
      <c r="S69" s="27" t="n"/>
      <c r="T69" s="27" t="n"/>
      <c r="U69" s="27" t="n"/>
      <c r="V69" s="28">
        <f>IF(A69="","",IF(COUNTIF($A$5:$A$154,A69)&gt;1,"DUPLICATE","UNIQUE"))</f>
        <v/>
      </c>
      <c r="W69" s="28">
        <f>IF(A69="","",IF(T69="Rejected","REJECTED",IF(AND(B69&lt;&gt;"",C69&lt;&gt;"",D69&lt;&gt;"",E69&lt;&gt;"",F69&lt;&gt;"",G69&lt;&gt;"",H69&lt;&gt;"",I69&lt;&gt;"",J69&lt;&gt;"",M69&lt;&gt;"",O69&lt;&gt;"",T69&lt;&gt;""),"COMPLETE","MISSING FIELDS")))</f>
        <v/>
      </c>
    </row>
    <row r="70" ht="15" customHeight="1" s="15">
      <c r="A70" s="27" t="n"/>
      <c r="B70" s="27" t="n"/>
      <c r="C70" s="27" t="n"/>
      <c r="D70" s="27" t="n"/>
      <c r="E70" s="27" t="n"/>
      <c r="F70" s="27" t="n"/>
      <c r="G70" s="27" t="n"/>
      <c r="H70" s="27" t="n"/>
      <c r="I70" s="27" t="n"/>
      <c r="J70" s="27" t="n"/>
      <c r="K70" s="27" t="n"/>
      <c r="L70" s="27" t="n"/>
      <c r="M70" s="27" t="n"/>
      <c r="N70" s="27" t="n"/>
      <c r="O70" s="27" t="n"/>
      <c r="P70" s="27" t="n"/>
      <c r="Q70" s="27" t="n"/>
      <c r="R70" s="27" t="n"/>
      <c r="S70" s="27" t="n"/>
      <c r="T70" s="27" t="n"/>
      <c r="U70" s="27" t="n"/>
      <c r="V70" s="28">
        <f>IF(A70="","",IF(COUNTIF($A$5:$A$154,A70)&gt;1,"DUPLICATE","UNIQUE"))</f>
        <v/>
      </c>
      <c r="W70" s="28">
        <f>IF(A70="","",IF(T70="Rejected","REJECTED",IF(AND(B70&lt;&gt;"",C70&lt;&gt;"",D70&lt;&gt;"",E70&lt;&gt;"",F70&lt;&gt;"",G70&lt;&gt;"",H70&lt;&gt;"",I70&lt;&gt;"",J70&lt;&gt;"",M70&lt;&gt;"",O70&lt;&gt;"",T70&lt;&gt;""),"COMPLETE","MISSING FIELDS")))</f>
        <v/>
      </c>
    </row>
    <row r="71" ht="15" customHeight="1" s="15">
      <c r="A71" s="27" t="n"/>
      <c r="B71" s="27" t="n"/>
      <c r="C71" s="27" t="n"/>
      <c r="D71" s="27" t="n"/>
      <c r="E71" s="27" t="n"/>
      <c r="F71" s="27" t="n"/>
      <c r="G71" s="27" t="n"/>
      <c r="H71" s="27" t="n"/>
      <c r="I71" s="27" t="n"/>
      <c r="J71" s="27" t="n"/>
      <c r="K71" s="27" t="n"/>
      <c r="L71" s="27" t="n"/>
      <c r="M71" s="27" t="n"/>
      <c r="N71" s="27" t="n"/>
      <c r="O71" s="27" t="n"/>
      <c r="P71" s="27" t="n"/>
      <c r="Q71" s="27" t="n"/>
      <c r="R71" s="27" t="n"/>
      <c r="S71" s="27" t="n"/>
      <c r="T71" s="27" t="n"/>
      <c r="U71" s="27" t="n"/>
      <c r="V71" s="28">
        <f>IF(A71="","",IF(COUNTIF($A$5:$A$154,A71)&gt;1,"DUPLICATE","UNIQUE"))</f>
        <v/>
      </c>
      <c r="W71" s="28">
        <f>IF(A71="","",IF(T71="Rejected","REJECTED",IF(AND(B71&lt;&gt;"",C71&lt;&gt;"",D71&lt;&gt;"",E71&lt;&gt;"",F71&lt;&gt;"",G71&lt;&gt;"",H71&lt;&gt;"",I71&lt;&gt;"",J71&lt;&gt;"",M71&lt;&gt;"",O71&lt;&gt;"",T71&lt;&gt;""),"COMPLETE","MISSING FIELDS")))</f>
        <v/>
      </c>
    </row>
    <row r="72" ht="15" customHeight="1" s="15">
      <c r="A72" s="27" t="n"/>
      <c r="B72" s="27" t="n"/>
      <c r="C72" s="27" t="n"/>
      <c r="D72" s="27" t="n"/>
      <c r="E72" s="27" t="n"/>
      <c r="F72" s="27" t="n"/>
      <c r="G72" s="27" t="n"/>
      <c r="H72" s="27" t="n"/>
      <c r="I72" s="27" t="n"/>
      <c r="J72" s="27" t="n"/>
      <c r="K72" s="27" t="n"/>
      <c r="L72" s="27" t="n"/>
      <c r="M72" s="27" t="n"/>
      <c r="N72" s="27" t="n"/>
      <c r="O72" s="27" t="n"/>
      <c r="P72" s="27" t="n"/>
      <c r="Q72" s="27" t="n"/>
      <c r="R72" s="27" t="n"/>
      <c r="S72" s="27" t="n"/>
      <c r="T72" s="27" t="n"/>
      <c r="U72" s="27" t="n"/>
      <c r="V72" s="28">
        <f>IF(A72="","",IF(COUNTIF($A$5:$A$154,A72)&gt;1,"DUPLICATE","UNIQUE"))</f>
        <v/>
      </c>
      <c r="W72" s="28">
        <f>IF(A72="","",IF(T72="Rejected","REJECTED",IF(AND(B72&lt;&gt;"",C72&lt;&gt;"",D72&lt;&gt;"",E72&lt;&gt;"",F72&lt;&gt;"",G72&lt;&gt;"",H72&lt;&gt;"",I72&lt;&gt;"",J72&lt;&gt;"",M72&lt;&gt;"",O72&lt;&gt;"",T72&lt;&gt;""),"COMPLETE","MISSING FIELDS")))</f>
        <v/>
      </c>
    </row>
    <row r="73" ht="15" customHeight="1" s="15">
      <c r="A73" s="27" t="n"/>
      <c r="B73" s="27" t="n"/>
      <c r="C73" s="27" t="n"/>
      <c r="D73" s="27" t="n"/>
      <c r="E73" s="27" t="n"/>
      <c r="F73" s="27" t="n"/>
      <c r="G73" s="27" t="n"/>
      <c r="H73" s="27" t="n"/>
      <c r="I73" s="27" t="n"/>
      <c r="J73" s="27" t="n"/>
      <c r="K73" s="27" t="n"/>
      <c r="L73" s="27" t="n"/>
      <c r="M73" s="27" t="n"/>
      <c r="N73" s="27" t="n"/>
      <c r="O73" s="27" t="n"/>
      <c r="P73" s="27" t="n"/>
      <c r="Q73" s="27" t="n"/>
      <c r="R73" s="27" t="n"/>
      <c r="S73" s="27" t="n"/>
      <c r="T73" s="27" t="n"/>
      <c r="U73" s="27" t="n"/>
      <c r="V73" s="28">
        <f>IF(A73="","",IF(COUNTIF($A$5:$A$154,A73)&gt;1,"DUPLICATE","UNIQUE"))</f>
        <v/>
      </c>
      <c r="W73" s="28">
        <f>IF(A73="","",IF(T73="Rejected","REJECTED",IF(AND(B73&lt;&gt;"",C73&lt;&gt;"",D73&lt;&gt;"",E73&lt;&gt;"",F73&lt;&gt;"",G73&lt;&gt;"",H73&lt;&gt;"",I73&lt;&gt;"",J73&lt;&gt;"",M73&lt;&gt;"",O73&lt;&gt;"",T73&lt;&gt;""),"COMPLETE","MISSING FIELDS")))</f>
        <v/>
      </c>
    </row>
    <row r="74" ht="15" customHeight="1" s="15">
      <c r="A74" s="27" t="n"/>
      <c r="B74" s="27" t="n"/>
      <c r="C74" s="27" t="n"/>
      <c r="D74" s="27" t="n"/>
      <c r="E74" s="27" t="n"/>
      <c r="F74" s="27" t="n"/>
      <c r="G74" s="27" t="n"/>
      <c r="H74" s="27" t="n"/>
      <c r="I74" s="27" t="n"/>
      <c r="J74" s="27" t="n"/>
      <c r="K74" s="27" t="n"/>
      <c r="L74" s="27" t="n"/>
      <c r="M74" s="27" t="n"/>
      <c r="N74" s="27" t="n"/>
      <c r="O74" s="27" t="n"/>
      <c r="P74" s="27" t="n"/>
      <c r="Q74" s="27" t="n"/>
      <c r="R74" s="27" t="n"/>
      <c r="S74" s="27" t="n"/>
      <c r="T74" s="27" t="n"/>
      <c r="U74" s="27" t="n"/>
      <c r="V74" s="28">
        <f>IF(A74="","",IF(COUNTIF($A$5:$A$154,A74)&gt;1,"DUPLICATE","UNIQUE"))</f>
        <v/>
      </c>
      <c r="W74" s="28">
        <f>IF(A74="","",IF(T74="Rejected","REJECTED",IF(AND(B74&lt;&gt;"",C74&lt;&gt;"",D74&lt;&gt;"",E74&lt;&gt;"",F74&lt;&gt;"",G74&lt;&gt;"",H74&lt;&gt;"",I74&lt;&gt;"",J74&lt;&gt;"",M74&lt;&gt;"",O74&lt;&gt;"",T74&lt;&gt;""),"COMPLETE","MISSING FIELDS")))</f>
        <v/>
      </c>
    </row>
    <row r="75" ht="15" customHeight="1" s="15">
      <c r="A75" s="27" t="n"/>
      <c r="B75" s="27" t="n"/>
      <c r="C75" s="27" t="n"/>
      <c r="D75" s="27" t="n"/>
      <c r="E75" s="27" t="n"/>
      <c r="F75" s="27" t="n"/>
      <c r="G75" s="27" t="n"/>
      <c r="H75" s="27" t="n"/>
      <c r="I75" s="27" t="n"/>
      <c r="J75" s="27" t="n"/>
      <c r="K75" s="27" t="n"/>
      <c r="L75" s="27" t="n"/>
      <c r="M75" s="27" t="n"/>
      <c r="N75" s="27" t="n"/>
      <c r="O75" s="27" t="n"/>
      <c r="P75" s="27" t="n"/>
      <c r="Q75" s="27" t="n"/>
      <c r="R75" s="27" t="n"/>
      <c r="S75" s="27" t="n"/>
      <c r="T75" s="27" t="n"/>
      <c r="U75" s="27" t="n"/>
      <c r="V75" s="28">
        <f>IF(A75="","",IF(COUNTIF($A$5:$A$154,A75)&gt;1,"DUPLICATE","UNIQUE"))</f>
        <v/>
      </c>
      <c r="W75" s="28">
        <f>IF(A75="","",IF(T75="Rejected","REJECTED",IF(AND(B75&lt;&gt;"",C75&lt;&gt;"",D75&lt;&gt;"",E75&lt;&gt;"",F75&lt;&gt;"",G75&lt;&gt;"",H75&lt;&gt;"",I75&lt;&gt;"",J75&lt;&gt;"",M75&lt;&gt;"",O75&lt;&gt;"",T75&lt;&gt;""),"COMPLETE","MISSING FIELDS")))</f>
        <v/>
      </c>
    </row>
    <row r="76" ht="15" customHeight="1" s="15">
      <c r="A76" s="27" t="n"/>
      <c r="B76" s="27" t="n"/>
      <c r="C76" s="27" t="n"/>
      <c r="D76" s="27" t="n"/>
      <c r="E76" s="27" t="n"/>
      <c r="F76" s="27" t="n"/>
      <c r="G76" s="27" t="n"/>
      <c r="H76" s="27" t="n"/>
      <c r="I76" s="27" t="n"/>
      <c r="J76" s="27" t="n"/>
      <c r="K76" s="27" t="n"/>
      <c r="L76" s="27" t="n"/>
      <c r="M76" s="27" t="n"/>
      <c r="N76" s="27" t="n"/>
      <c r="O76" s="27" t="n"/>
      <c r="P76" s="27" t="n"/>
      <c r="Q76" s="27" t="n"/>
      <c r="R76" s="27" t="n"/>
      <c r="S76" s="27" t="n"/>
      <c r="T76" s="27" t="n"/>
      <c r="U76" s="27" t="n"/>
      <c r="V76" s="28">
        <f>IF(A76="","",IF(COUNTIF($A$5:$A$154,A76)&gt;1,"DUPLICATE","UNIQUE"))</f>
        <v/>
      </c>
      <c r="W76" s="28">
        <f>IF(A76="","",IF(T76="Rejected","REJECTED",IF(AND(B76&lt;&gt;"",C76&lt;&gt;"",D76&lt;&gt;"",E76&lt;&gt;"",F76&lt;&gt;"",G76&lt;&gt;"",H76&lt;&gt;"",I76&lt;&gt;"",J76&lt;&gt;"",M76&lt;&gt;"",O76&lt;&gt;"",T76&lt;&gt;""),"COMPLETE","MISSING FIELDS")))</f>
        <v/>
      </c>
    </row>
    <row r="77" ht="15" customHeight="1" s="15">
      <c r="A77" s="27" t="n"/>
      <c r="B77" s="27" t="n"/>
      <c r="C77" s="27" t="n"/>
      <c r="D77" s="27" t="n"/>
      <c r="E77" s="27" t="n"/>
      <c r="F77" s="27" t="n"/>
      <c r="G77" s="27" t="n"/>
      <c r="H77" s="27" t="n"/>
      <c r="I77" s="27" t="n"/>
      <c r="J77" s="27" t="n"/>
      <c r="K77" s="27" t="n"/>
      <c r="L77" s="27" t="n"/>
      <c r="M77" s="27" t="n"/>
      <c r="N77" s="27" t="n"/>
      <c r="O77" s="27" t="n"/>
      <c r="P77" s="27" t="n"/>
      <c r="Q77" s="27" t="n"/>
      <c r="R77" s="27" t="n"/>
      <c r="S77" s="27" t="n"/>
      <c r="T77" s="27" t="n"/>
      <c r="U77" s="27" t="n"/>
      <c r="V77" s="28">
        <f>IF(A77="","",IF(COUNTIF($A$5:$A$154,A77)&gt;1,"DUPLICATE","UNIQUE"))</f>
        <v/>
      </c>
      <c r="W77" s="28">
        <f>IF(A77="","",IF(T77="Rejected","REJECTED",IF(AND(B77&lt;&gt;"",C77&lt;&gt;"",D77&lt;&gt;"",E77&lt;&gt;"",F77&lt;&gt;"",G77&lt;&gt;"",H77&lt;&gt;"",I77&lt;&gt;"",J77&lt;&gt;"",M77&lt;&gt;"",O77&lt;&gt;"",T77&lt;&gt;""),"COMPLETE","MISSING FIELDS")))</f>
        <v/>
      </c>
    </row>
    <row r="78" ht="15" customHeight="1" s="15">
      <c r="A78" s="27" t="n"/>
      <c r="B78" s="27" t="n"/>
      <c r="C78" s="27" t="n"/>
      <c r="D78" s="27" t="n"/>
      <c r="E78" s="27" t="n"/>
      <c r="F78" s="27" t="n"/>
      <c r="G78" s="27" t="n"/>
      <c r="H78" s="27" t="n"/>
      <c r="I78" s="27" t="n"/>
      <c r="J78" s="27" t="n"/>
      <c r="K78" s="27" t="n"/>
      <c r="L78" s="27" t="n"/>
      <c r="M78" s="27" t="n"/>
      <c r="N78" s="27" t="n"/>
      <c r="O78" s="27" t="n"/>
      <c r="P78" s="27" t="n"/>
      <c r="Q78" s="27" t="n"/>
      <c r="R78" s="27" t="n"/>
      <c r="S78" s="27" t="n"/>
      <c r="T78" s="27" t="n"/>
      <c r="U78" s="27" t="n"/>
      <c r="V78" s="28">
        <f>IF(A78="","",IF(COUNTIF($A$5:$A$154,A78)&gt;1,"DUPLICATE","UNIQUE"))</f>
        <v/>
      </c>
      <c r="W78" s="28">
        <f>IF(A78="","",IF(T78="Rejected","REJECTED",IF(AND(B78&lt;&gt;"",C78&lt;&gt;"",D78&lt;&gt;"",E78&lt;&gt;"",F78&lt;&gt;"",G78&lt;&gt;"",H78&lt;&gt;"",I78&lt;&gt;"",J78&lt;&gt;"",M78&lt;&gt;"",O78&lt;&gt;"",T78&lt;&gt;""),"COMPLETE","MISSING FIELDS")))</f>
        <v/>
      </c>
    </row>
    <row r="79" ht="15" customHeight="1" s="15">
      <c r="A79" s="27" t="n"/>
      <c r="B79" s="27" t="n"/>
      <c r="C79" s="27" t="n"/>
      <c r="D79" s="27" t="n"/>
      <c r="E79" s="27" t="n"/>
      <c r="F79" s="27" t="n"/>
      <c r="G79" s="27" t="n"/>
      <c r="H79" s="27" t="n"/>
      <c r="I79" s="27" t="n"/>
      <c r="J79" s="27" t="n"/>
      <c r="K79" s="27" t="n"/>
      <c r="L79" s="27" t="n"/>
      <c r="M79" s="27" t="n"/>
      <c r="N79" s="27" t="n"/>
      <c r="O79" s="27" t="n"/>
      <c r="P79" s="27" t="n"/>
      <c r="Q79" s="27" t="n"/>
      <c r="R79" s="27" t="n"/>
      <c r="S79" s="27" t="n"/>
      <c r="T79" s="27" t="n"/>
      <c r="U79" s="27" t="n"/>
      <c r="V79" s="28">
        <f>IF(A79="","",IF(COUNTIF($A$5:$A$154,A79)&gt;1,"DUPLICATE","UNIQUE"))</f>
        <v/>
      </c>
      <c r="W79" s="28">
        <f>IF(A79="","",IF(T79="Rejected","REJECTED",IF(AND(B79&lt;&gt;"",C79&lt;&gt;"",D79&lt;&gt;"",E79&lt;&gt;"",F79&lt;&gt;"",G79&lt;&gt;"",H79&lt;&gt;"",I79&lt;&gt;"",J79&lt;&gt;"",M79&lt;&gt;"",O79&lt;&gt;"",T79&lt;&gt;""),"COMPLETE","MISSING FIELDS")))</f>
        <v/>
      </c>
    </row>
    <row r="80" ht="15" customHeight="1" s="15">
      <c r="A80" s="27" t="n"/>
      <c r="B80" s="27" t="n"/>
      <c r="C80" s="27" t="n"/>
      <c r="D80" s="27" t="n"/>
      <c r="E80" s="27" t="n"/>
      <c r="F80" s="27" t="n"/>
      <c r="G80" s="27" t="n"/>
      <c r="H80" s="27" t="n"/>
      <c r="I80" s="27" t="n"/>
      <c r="J80" s="27" t="n"/>
      <c r="K80" s="27" t="n"/>
      <c r="L80" s="27" t="n"/>
      <c r="M80" s="27" t="n"/>
      <c r="N80" s="27" t="n"/>
      <c r="O80" s="27" t="n"/>
      <c r="P80" s="27" t="n"/>
      <c r="Q80" s="27" t="n"/>
      <c r="R80" s="27" t="n"/>
      <c r="S80" s="27" t="n"/>
      <c r="T80" s="27" t="n"/>
      <c r="U80" s="27" t="n"/>
      <c r="V80" s="28">
        <f>IF(A80="","",IF(COUNTIF($A$5:$A$154,A80)&gt;1,"DUPLICATE","UNIQUE"))</f>
        <v/>
      </c>
      <c r="W80" s="28">
        <f>IF(A80="","",IF(T80="Rejected","REJECTED",IF(AND(B80&lt;&gt;"",C80&lt;&gt;"",D80&lt;&gt;"",E80&lt;&gt;"",F80&lt;&gt;"",G80&lt;&gt;"",H80&lt;&gt;"",I80&lt;&gt;"",J80&lt;&gt;"",M80&lt;&gt;"",O80&lt;&gt;"",T80&lt;&gt;""),"COMPLETE","MISSING FIELDS")))</f>
        <v/>
      </c>
    </row>
    <row r="81" ht="15" customHeight="1" s="15">
      <c r="A81" s="27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  <c r="T81" s="27" t="n"/>
      <c r="U81" s="27" t="n"/>
      <c r="V81" s="28">
        <f>IF(A81="","",IF(COUNTIF($A$5:$A$154,A81)&gt;1,"DUPLICATE","UNIQUE"))</f>
        <v/>
      </c>
      <c r="W81" s="28">
        <f>IF(A81="","",IF(T81="Rejected","REJECTED",IF(AND(B81&lt;&gt;"",C81&lt;&gt;"",D81&lt;&gt;"",E81&lt;&gt;"",F81&lt;&gt;"",G81&lt;&gt;"",H81&lt;&gt;"",I81&lt;&gt;"",J81&lt;&gt;"",M81&lt;&gt;"",O81&lt;&gt;"",T81&lt;&gt;""),"COMPLETE","MISSING FIELDS")))</f>
        <v/>
      </c>
    </row>
    <row r="82" ht="15" customHeight="1" s="15">
      <c r="A82" s="27" t="n"/>
      <c r="B82" s="27" t="n"/>
      <c r="C82" s="27" t="n"/>
      <c r="D82" s="27" t="n"/>
      <c r="E82" s="27" t="n"/>
      <c r="F82" s="27" t="n"/>
      <c r="G82" s="27" t="n"/>
      <c r="H82" s="27" t="n"/>
      <c r="I82" s="27" t="n"/>
      <c r="J82" s="27" t="n"/>
      <c r="K82" s="27" t="n"/>
      <c r="L82" s="27" t="n"/>
      <c r="M82" s="27" t="n"/>
      <c r="N82" s="27" t="n"/>
      <c r="O82" s="27" t="n"/>
      <c r="P82" s="27" t="n"/>
      <c r="Q82" s="27" t="n"/>
      <c r="R82" s="27" t="n"/>
      <c r="S82" s="27" t="n"/>
      <c r="T82" s="27" t="n"/>
      <c r="U82" s="27" t="n"/>
      <c r="V82" s="28">
        <f>IF(A82="","",IF(COUNTIF($A$5:$A$154,A82)&gt;1,"DUPLICATE","UNIQUE"))</f>
        <v/>
      </c>
      <c r="W82" s="28">
        <f>IF(A82="","",IF(T82="Rejected","REJECTED",IF(AND(B82&lt;&gt;"",C82&lt;&gt;"",D82&lt;&gt;"",E82&lt;&gt;"",F82&lt;&gt;"",G82&lt;&gt;"",H82&lt;&gt;"",I82&lt;&gt;"",J82&lt;&gt;"",M82&lt;&gt;"",O82&lt;&gt;"",T82&lt;&gt;""),"COMPLETE","MISSING FIELDS")))</f>
        <v/>
      </c>
    </row>
    <row r="83" ht="15" customHeight="1" s="15">
      <c r="A83" s="27" t="n"/>
      <c r="B83" s="27" t="n"/>
      <c r="C83" s="27" t="n"/>
      <c r="D83" s="27" t="n"/>
      <c r="E83" s="27" t="n"/>
      <c r="F83" s="27" t="n"/>
      <c r="G83" s="27" t="n"/>
      <c r="H83" s="27" t="n"/>
      <c r="I83" s="27" t="n"/>
      <c r="J83" s="27" t="n"/>
      <c r="K83" s="27" t="n"/>
      <c r="L83" s="27" t="n"/>
      <c r="M83" s="27" t="n"/>
      <c r="N83" s="27" t="n"/>
      <c r="O83" s="27" t="n"/>
      <c r="P83" s="27" t="n"/>
      <c r="Q83" s="27" t="n"/>
      <c r="R83" s="27" t="n"/>
      <c r="S83" s="27" t="n"/>
      <c r="T83" s="27" t="n"/>
      <c r="U83" s="27" t="n"/>
      <c r="V83" s="28">
        <f>IF(A83="","",IF(COUNTIF($A$5:$A$154,A83)&gt;1,"DUPLICATE","UNIQUE"))</f>
        <v/>
      </c>
      <c r="W83" s="28">
        <f>IF(A83="","",IF(T83="Rejected","REJECTED",IF(AND(B83&lt;&gt;"",C83&lt;&gt;"",D83&lt;&gt;"",E83&lt;&gt;"",F83&lt;&gt;"",G83&lt;&gt;"",H83&lt;&gt;"",I83&lt;&gt;"",J83&lt;&gt;"",M83&lt;&gt;"",O83&lt;&gt;"",T83&lt;&gt;""),"COMPLETE","MISSING FIELDS")))</f>
        <v/>
      </c>
    </row>
    <row r="84" ht="15" customHeight="1" s="15">
      <c r="A84" s="27" t="n"/>
      <c r="B84" s="27" t="n"/>
      <c r="C84" s="27" t="n"/>
      <c r="D84" s="27" t="n"/>
      <c r="E84" s="27" t="n"/>
      <c r="F84" s="27" t="n"/>
      <c r="G84" s="27" t="n"/>
      <c r="H84" s="27" t="n"/>
      <c r="I84" s="27" t="n"/>
      <c r="J84" s="27" t="n"/>
      <c r="K84" s="27" t="n"/>
      <c r="L84" s="27" t="n"/>
      <c r="M84" s="27" t="n"/>
      <c r="N84" s="27" t="n"/>
      <c r="O84" s="27" t="n"/>
      <c r="P84" s="27" t="n"/>
      <c r="Q84" s="27" t="n"/>
      <c r="R84" s="27" t="n"/>
      <c r="S84" s="27" t="n"/>
      <c r="T84" s="27" t="n"/>
      <c r="U84" s="27" t="n"/>
      <c r="V84" s="28">
        <f>IF(A84="","",IF(COUNTIF($A$5:$A$154,A84)&gt;1,"DUPLICATE","UNIQUE"))</f>
        <v/>
      </c>
      <c r="W84" s="28">
        <f>IF(A84="","",IF(T84="Rejected","REJECTED",IF(AND(B84&lt;&gt;"",C84&lt;&gt;"",D84&lt;&gt;"",E84&lt;&gt;"",F84&lt;&gt;"",G84&lt;&gt;"",H84&lt;&gt;"",I84&lt;&gt;"",J84&lt;&gt;"",M84&lt;&gt;"",O84&lt;&gt;"",T84&lt;&gt;""),"COMPLETE","MISSING FIELDS")))</f>
        <v/>
      </c>
    </row>
    <row r="85" ht="15" customHeight="1" s="15">
      <c r="A85" s="27" t="n"/>
      <c r="B85" s="27" t="n"/>
      <c r="C85" s="27" t="n"/>
      <c r="D85" s="27" t="n"/>
      <c r="E85" s="27" t="n"/>
      <c r="F85" s="27" t="n"/>
      <c r="G85" s="27" t="n"/>
      <c r="H85" s="27" t="n"/>
      <c r="I85" s="27" t="n"/>
      <c r="J85" s="27" t="n"/>
      <c r="K85" s="27" t="n"/>
      <c r="L85" s="27" t="n"/>
      <c r="M85" s="27" t="n"/>
      <c r="N85" s="27" t="n"/>
      <c r="O85" s="27" t="n"/>
      <c r="P85" s="27" t="n"/>
      <c r="Q85" s="27" t="n"/>
      <c r="R85" s="27" t="n"/>
      <c r="S85" s="27" t="n"/>
      <c r="T85" s="27" t="n"/>
      <c r="U85" s="27" t="n"/>
      <c r="V85" s="28">
        <f>IF(A85="","",IF(COUNTIF($A$5:$A$154,A85)&gt;1,"DUPLICATE","UNIQUE"))</f>
        <v/>
      </c>
      <c r="W85" s="28">
        <f>IF(A85="","",IF(T85="Rejected","REJECTED",IF(AND(B85&lt;&gt;"",C85&lt;&gt;"",D85&lt;&gt;"",E85&lt;&gt;"",F85&lt;&gt;"",G85&lt;&gt;"",H85&lt;&gt;"",I85&lt;&gt;"",J85&lt;&gt;"",M85&lt;&gt;"",O85&lt;&gt;"",T85&lt;&gt;""),"COMPLETE","MISSING FIELDS")))</f>
        <v/>
      </c>
    </row>
    <row r="86" ht="15" customHeight="1" s="15">
      <c r="A86" s="27" t="n"/>
      <c r="B86" s="27" t="n"/>
      <c r="C86" s="27" t="n"/>
      <c r="D86" s="27" t="n"/>
      <c r="E86" s="27" t="n"/>
      <c r="F86" s="27" t="n"/>
      <c r="G86" s="27" t="n"/>
      <c r="H86" s="27" t="n"/>
      <c r="I86" s="27" t="n"/>
      <c r="J86" s="27" t="n"/>
      <c r="K86" s="27" t="n"/>
      <c r="L86" s="27" t="n"/>
      <c r="M86" s="27" t="n"/>
      <c r="N86" s="27" t="n"/>
      <c r="O86" s="27" t="n"/>
      <c r="P86" s="27" t="n"/>
      <c r="Q86" s="27" t="n"/>
      <c r="R86" s="27" t="n"/>
      <c r="S86" s="27" t="n"/>
      <c r="T86" s="27" t="n"/>
      <c r="U86" s="27" t="n"/>
      <c r="V86" s="28">
        <f>IF(A86="","",IF(COUNTIF($A$5:$A$154,A86)&gt;1,"DUPLICATE","UNIQUE"))</f>
        <v/>
      </c>
      <c r="W86" s="28">
        <f>IF(A86="","",IF(T86="Rejected","REJECTED",IF(AND(B86&lt;&gt;"",C86&lt;&gt;"",D86&lt;&gt;"",E86&lt;&gt;"",F86&lt;&gt;"",G86&lt;&gt;"",H86&lt;&gt;"",I86&lt;&gt;"",J86&lt;&gt;"",M86&lt;&gt;"",O86&lt;&gt;"",T86&lt;&gt;""),"COMPLETE","MISSING FIELDS")))</f>
        <v/>
      </c>
    </row>
    <row r="87" ht="15" customHeight="1" s="15">
      <c r="A87" s="27" t="n"/>
      <c r="B87" s="27" t="n"/>
      <c r="C87" s="27" t="n"/>
      <c r="D87" s="27" t="n"/>
      <c r="E87" s="27" t="n"/>
      <c r="F87" s="27" t="n"/>
      <c r="G87" s="27" t="n"/>
      <c r="H87" s="27" t="n"/>
      <c r="I87" s="27" t="n"/>
      <c r="J87" s="27" t="n"/>
      <c r="K87" s="27" t="n"/>
      <c r="L87" s="27" t="n"/>
      <c r="M87" s="27" t="n"/>
      <c r="N87" s="27" t="n"/>
      <c r="O87" s="27" t="n"/>
      <c r="P87" s="27" t="n"/>
      <c r="Q87" s="27" t="n"/>
      <c r="R87" s="27" t="n"/>
      <c r="S87" s="27" t="n"/>
      <c r="T87" s="27" t="n"/>
      <c r="U87" s="27" t="n"/>
      <c r="V87" s="28">
        <f>IF(A87="","",IF(COUNTIF($A$5:$A$154,A87)&gt;1,"DUPLICATE","UNIQUE"))</f>
        <v/>
      </c>
      <c r="W87" s="28">
        <f>IF(A87="","",IF(T87="Rejected","REJECTED",IF(AND(B87&lt;&gt;"",C87&lt;&gt;"",D87&lt;&gt;"",E87&lt;&gt;"",F87&lt;&gt;"",G87&lt;&gt;"",H87&lt;&gt;"",I87&lt;&gt;"",J87&lt;&gt;"",M87&lt;&gt;"",O87&lt;&gt;"",T87&lt;&gt;""),"COMPLETE","MISSING FIELDS")))</f>
        <v/>
      </c>
    </row>
    <row r="88" ht="15" customHeight="1" s="15">
      <c r="A88" s="27" t="n"/>
      <c r="B88" s="27" t="n"/>
      <c r="C88" s="27" t="n"/>
      <c r="D88" s="27" t="n"/>
      <c r="E88" s="27" t="n"/>
      <c r="F88" s="27" t="n"/>
      <c r="G88" s="27" t="n"/>
      <c r="H88" s="27" t="n"/>
      <c r="I88" s="27" t="n"/>
      <c r="J88" s="27" t="n"/>
      <c r="K88" s="27" t="n"/>
      <c r="L88" s="27" t="n"/>
      <c r="M88" s="27" t="n"/>
      <c r="N88" s="27" t="n"/>
      <c r="O88" s="27" t="n"/>
      <c r="P88" s="27" t="n"/>
      <c r="Q88" s="27" t="n"/>
      <c r="R88" s="27" t="n"/>
      <c r="S88" s="27" t="n"/>
      <c r="T88" s="27" t="n"/>
      <c r="U88" s="27" t="n"/>
      <c r="V88" s="28">
        <f>IF(A88="","",IF(COUNTIF($A$5:$A$154,A88)&gt;1,"DUPLICATE","UNIQUE"))</f>
        <v/>
      </c>
      <c r="W88" s="28">
        <f>IF(A88="","",IF(T88="Rejected","REJECTED",IF(AND(B88&lt;&gt;"",C88&lt;&gt;"",D88&lt;&gt;"",E88&lt;&gt;"",F88&lt;&gt;"",G88&lt;&gt;"",H88&lt;&gt;"",I88&lt;&gt;"",J88&lt;&gt;"",M88&lt;&gt;"",O88&lt;&gt;"",T88&lt;&gt;""),"COMPLETE","MISSING FIELDS")))</f>
        <v/>
      </c>
    </row>
    <row r="89" ht="15" customHeight="1" s="15">
      <c r="A89" s="27" t="n"/>
      <c r="B89" s="27" t="n"/>
      <c r="C89" s="27" t="n"/>
      <c r="D89" s="27" t="n"/>
      <c r="E89" s="27" t="n"/>
      <c r="F89" s="27" t="n"/>
      <c r="G89" s="27" t="n"/>
      <c r="H89" s="27" t="n"/>
      <c r="I89" s="27" t="n"/>
      <c r="J89" s="27" t="n"/>
      <c r="K89" s="27" t="n"/>
      <c r="L89" s="27" t="n"/>
      <c r="M89" s="27" t="n"/>
      <c r="N89" s="27" t="n"/>
      <c r="O89" s="27" t="n"/>
      <c r="P89" s="27" t="n"/>
      <c r="Q89" s="27" t="n"/>
      <c r="R89" s="27" t="n"/>
      <c r="S89" s="27" t="n"/>
      <c r="T89" s="27" t="n"/>
      <c r="U89" s="27" t="n"/>
      <c r="V89" s="28">
        <f>IF(A89="","",IF(COUNTIF($A$5:$A$154,A89)&gt;1,"DUPLICATE","UNIQUE"))</f>
        <v/>
      </c>
      <c r="W89" s="28">
        <f>IF(A89="","",IF(T89="Rejected","REJECTED",IF(AND(B89&lt;&gt;"",C89&lt;&gt;"",D89&lt;&gt;"",E89&lt;&gt;"",F89&lt;&gt;"",G89&lt;&gt;"",H89&lt;&gt;"",I89&lt;&gt;"",J89&lt;&gt;"",M89&lt;&gt;"",O89&lt;&gt;"",T89&lt;&gt;""),"COMPLETE","MISSING FIELDS")))</f>
        <v/>
      </c>
    </row>
    <row r="90" ht="15" customHeight="1" s="15">
      <c r="A90" s="27" t="n"/>
      <c r="B90" s="27" t="n"/>
      <c r="C90" s="27" t="n"/>
      <c r="D90" s="27" t="n"/>
      <c r="E90" s="27" t="n"/>
      <c r="F90" s="27" t="n"/>
      <c r="G90" s="27" t="n"/>
      <c r="H90" s="27" t="n"/>
      <c r="I90" s="27" t="n"/>
      <c r="J90" s="27" t="n"/>
      <c r="K90" s="27" t="n"/>
      <c r="L90" s="27" t="n"/>
      <c r="M90" s="27" t="n"/>
      <c r="N90" s="27" t="n"/>
      <c r="O90" s="27" t="n"/>
      <c r="P90" s="27" t="n"/>
      <c r="Q90" s="27" t="n"/>
      <c r="R90" s="27" t="n"/>
      <c r="S90" s="27" t="n"/>
      <c r="T90" s="27" t="n"/>
      <c r="U90" s="27" t="n"/>
      <c r="V90" s="28">
        <f>IF(A90="","",IF(COUNTIF($A$5:$A$154,A90)&gt;1,"DUPLICATE","UNIQUE"))</f>
        <v/>
      </c>
      <c r="W90" s="28">
        <f>IF(A90="","",IF(T90="Rejected","REJECTED",IF(AND(B90&lt;&gt;"",C90&lt;&gt;"",D90&lt;&gt;"",E90&lt;&gt;"",F90&lt;&gt;"",G90&lt;&gt;"",H90&lt;&gt;"",I90&lt;&gt;"",J90&lt;&gt;"",M90&lt;&gt;"",O90&lt;&gt;"",T90&lt;&gt;""),"COMPLETE","MISSING FIELDS")))</f>
        <v/>
      </c>
    </row>
    <row r="91" ht="15" customHeight="1" s="15">
      <c r="A91" s="27" t="n"/>
      <c r="B91" s="27" t="n"/>
      <c r="C91" s="27" t="n"/>
      <c r="D91" s="27" t="n"/>
      <c r="E91" s="27" t="n"/>
      <c r="F91" s="27" t="n"/>
      <c r="G91" s="27" t="n"/>
      <c r="H91" s="27" t="n"/>
      <c r="I91" s="27" t="n"/>
      <c r="J91" s="27" t="n"/>
      <c r="K91" s="27" t="n"/>
      <c r="L91" s="27" t="n"/>
      <c r="M91" s="27" t="n"/>
      <c r="N91" s="27" t="n"/>
      <c r="O91" s="27" t="n"/>
      <c r="P91" s="27" t="n"/>
      <c r="Q91" s="27" t="n"/>
      <c r="R91" s="27" t="n"/>
      <c r="S91" s="27" t="n"/>
      <c r="T91" s="27" t="n"/>
      <c r="U91" s="27" t="n"/>
      <c r="V91" s="28">
        <f>IF(A91="","",IF(COUNTIF($A$5:$A$154,A91)&gt;1,"DUPLICATE","UNIQUE"))</f>
        <v/>
      </c>
      <c r="W91" s="28">
        <f>IF(A91="","",IF(T91="Rejected","REJECTED",IF(AND(B91&lt;&gt;"",C91&lt;&gt;"",D91&lt;&gt;"",E91&lt;&gt;"",F91&lt;&gt;"",G91&lt;&gt;"",H91&lt;&gt;"",I91&lt;&gt;"",J91&lt;&gt;"",M91&lt;&gt;"",O91&lt;&gt;"",T91&lt;&gt;""),"COMPLETE","MISSING FIELDS")))</f>
        <v/>
      </c>
    </row>
    <row r="92" ht="15" customHeight="1" s="15">
      <c r="A92" s="27" t="n"/>
      <c r="B92" s="27" t="n"/>
      <c r="C92" s="27" t="n"/>
      <c r="D92" s="27" t="n"/>
      <c r="E92" s="27" t="n"/>
      <c r="F92" s="27" t="n"/>
      <c r="G92" s="27" t="n"/>
      <c r="H92" s="27" t="n"/>
      <c r="I92" s="27" t="n"/>
      <c r="J92" s="27" t="n"/>
      <c r="K92" s="27" t="n"/>
      <c r="L92" s="27" t="n"/>
      <c r="M92" s="27" t="n"/>
      <c r="N92" s="27" t="n"/>
      <c r="O92" s="27" t="n"/>
      <c r="P92" s="27" t="n"/>
      <c r="Q92" s="27" t="n"/>
      <c r="R92" s="27" t="n"/>
      <c r="S92" s="27" t="n"/>
      <c r="T92" s="27" t="n"/>
      <c r="U92" s="27" t="n"/>
      <c r="V92" s="28">
        <f>IF(A92="","",IF(COUNTIF($A$5:$A$154,A92)&gt;1,"DUPLICATE","UNIQUE"))</f>
        <v/>
      </c>
      <c r="W92" s="28">
        <f>IF(A92="","",IF(T92="Rejected","REJECTED",IF(AND(B92&lt;&gt;"",C92&lt;&gt;"",D92&lt;&gt;"",E92&lt;&gt;"",F92&lt;&gt;"",G92&lt;&gt;"",H92&lt;&gt;"",I92&lt;&gt;"",J92&lt;&gt;"",M92&lt;&gt;"",O92&lt;&gt;"",T92&lt;&gt;""),"COMPLETE","MISSING FIELDS")))</f>
        <v/>
      </c>
    </row>
    <row r="93" ht="15" customHeight="1" s="15">
      <c r="A93" s="27" t="n"/>
      <c r="B93" s="27" t="n"/>
      <c r="C93" s="27" t="n"/>
      <c r="D93" s="27" t="n"/>
      <c r="E93" s="27" t="n"/>
      <c r="F93" s="27" t="n"/>
      <c r="G93" s="27" t="n"/>
      <c r="H93" s="27" t="n"/>
      <c r="I93" s="27" t="n"/>
      <c r="J93" s="27" t="n"/>
      <c r="K93" s="27" t="n"/>
      <c r="L93" s="27" t="n"/>
      <c r="M93" s="27" t="n"/>
      <c r="N93" s="27" t="n"/>
      <c r="O93" s="27" t="n"/>
      <c r="P93" s="27" t="n"/>
      <c r="Q93" s="27" t="n"/>
      <c r="R93" s="27" t="n"/>
      <c r="S93" s="27" t="n"/>
      <c r="T93" s="27" t="n"/>
      <c r="U93" s="27" t="n"/>
      <c r="V93" s="28">
        <f>IF(A93="","",IF(COUNTIF($A$5:$A$154,A93)&gt;1,"DUPLICATE","UNIQUE"))</f>
        <v/>
      </c>
      <c r="W93" s="28">
        <f>IF(A93="","",IF(T93="Rejected","REJECTED",IF(AND(B93&lt;&gt;"",C93&lt;&gt;"",D93&lt;&gt;"",E93&lt;&gt;"",F93&lt;&gt;"",G93&lt;&gt;"",H93&lt;&gt;"",I93&lt;&gt;"",J93&lt;&gt;"",M93&lt;&gt;"",O93&lt;&gt;"",T93&lt;&gt;""),"COMPLETE","MISSING FIELDS")))</f>
        <v/>
      </c>
    </row>
    <row r="94" ht="15" customHeight="1" s="15">
      <c r="A94" s="27" t="n"/>
      <c r="B94" s="27" t="n"/>
      <c r="C94" s="27" t="n"/>
      <c r="D94" s="27" t="n"/>
      <c r="E94" s="27" t="n"/>
      <c r="F94" s="27" t="n"/>
      <c r="G94" s="27" t="n"/>
      <c r="H94" s="27" t="n"/>
      <c r="I94" s="27" t="n"/>
      <c r="J94" s="27" t="n"/>
      <c r="K94" s="27" t="n"/>
      <c r="L94" s="27" t="n"/>
      <c r="M94" s="27" t="n"/>
      <c r="N94" s="27" t="n"/>
      <c r="O94" s="27" t="n"/>
      <c r="P94" s="27" t="n"/>
      <c r="Q94" s="27" t="n"/>
      <c r="R94" s="27" t="n"/>
      <c r="S94" s="27" t="n"/>
      <c r="T94" s="27" t="n"/>
      <c r="U94" s="27" t="n"/>
      <c r="V94" s="28">
        <f>IF(A94="","",IF(COUNTIF($A$5:$A$154,A94)&gt;1,"DUPLICATE","UNIQUE"))</f>
        <v/>
      </c>
      <c r="W94" s="28">
        <f>IF(A94="","",IF(T94="Rejected","REJECTED",IF(AND(B94&lt;&gt;"",C94&lt;&gt;"",D94&lt;&gt;"",E94&lt;&gt;"",F94&lt;&gt;"",G94&lt;&gt;"",H94&lt;&gt;"",I94&lt;&gt;"",J94&lt;&gt;"",M94&lt;&gt;"",O94&lt;&gt;"",T94&lt;&gt;""),"COMPLETE","MISSING FIELDS")))</f>
        <v/>
      </c>
    </row>
    <row r="95" ht="15" customHeight="1" s="15">
      <c r="A95" s="27" t="n"/>
      <c r="B95" s="27" t="n"/>
      <c r="C95" s="27" t="n"/>
      <c r="D95" s="27" t="n"/>
      <c r="E95" s="27" t="n"/>
      <c r="F95" s="27" t="n"/>
      <c r="G95" s="27" t="n"/>
      <c r="H95" s="27" t="n"/>
      <c r="I95" s="27" t="n"/>
      <c r="J95" s="27" t="n"/>
      <c r="K95" s="27" t="n"/>
      <c r="L95" s="27" t="n"/>
      <c r="M95" s="27" t="n"/>
      <c r="N95" s="27" t="n"/>
      <c r="O95" s="27" t="n"/>
      <c r="P95" s="27" t="n"/>
      <c r="Q95" s="27" t="n"/>
      <c r="R95" s="27" t="n"/>
      <c r="S95" s="27" t="n"/>
      <c r="T95" s="27" t="n"/>
      <c r="U95" s="27" t="n"/>
      <c r="V95" s="28">
        <f>IF(A95="","",IF(COUNTIF($A$5:$A$154,A95)&gt;1,"DUPLICATE","UNIQUE"))</f>
        <v/>
      </c>
      <c r="W95" s="28">
        <f>IF(A95="","",IF(T95="Rejected","REJECTED",IF(AND(B95&lt;&gt;"",C95&lt;&gt;"",D95&lt;&gt;"",E95&lt;&gt;"",F95&lt;&gt;"",G95&lt;&gt;"",H95&lt;&gt;"",I95&lt;&gt;"",J95&lt;&gt;"",M95&lt;&gt;"",O95&lt;&gt;"",T95&lt;&gt;""),"COMPLETE","MISSING FIELDS")))</f>
        <v/>
      </c>
    </row>
    <row r="96" ht="15" customHeight="1" s="15">
      <c r="A96" s="27" t="n"/>
      <c r="B96" s="27" t="n"/>
      <c r="C96" s="27" t="n"/>
      <c r="D96" s="27" t="n"/>
      <c r="E96" s="27" t="n"/>
      <c r="F96" s="27" t="n"/>
      <c r="G96" s="27" t="n"/>
      <c r="H96" s="27" t="n"/>
      <c r="I96" s="27" t="n"/>
      <c r="J96" s="27" t="n"/>
      <c r="K96" s="27" t="n"/>
      <c r="L96" s="27" t="n"/>
      <c r="M96" s="27" t="n"/>
      <c r="N96" s="27" t="n"/>
      <c r="O96" s="27" t="n"/>
      <c r="P96" s="27" t="n"/>
      <c r="Q96" s="27" t="n"/>
      <c r="R96" s="27" t="n"/>
      <c r="S96" s="27" t="n"/>
      <c r="T96" s="27" t="n"/>
      <c r="U96" s="27" t="n"/>
      <c r="V96" s="28">
        <f>IF(A96="","",IF(COUNTIF($A$5:$A$154,A96)&gt;1,"DUPLICATE","UNIQUE"))</f>
        <v/>
      </c>
      <c r="W96" s="28">
        <f>IF(A96="","",IF(T96="Rejected","REJECTED",IF(AND(B96&lt;&gt;"",C96&lt;&gt;"",D96&lt;&gt;"",E96&lt;&gt;"",F96&lt;&gt;"",G96&lt;&gt;"",H96&lt;&gt;"",I96&lt;&gt;"",J96&lt;&gt;"",M96&lt;&gt;"",O96&lt;&gt;"",T96&lt;&gt;""),"COMPLETE","MISSING FIELDS")))</f>
        <v/>
      </c>
    </row>
    <row r="97" ht="15" customHeight="1" s="15">
      <c r="A97" s="27" t="n"/>
      <c r="B97" s="27" t="n"/>
      <c r="C97" s="27" t="n"/>
      <c r="D97" s="27" t="n"/>
      <c r="E97" s="27" t="n"/>
      <c r="F97" s="27" t="n"/>
      <c r="G97" s="27" t="n"/>
      <c r="H97" s="27" t="n"/>
      <c r="I97" s="27" t="n"/>
      <c r="J97" s="27" t="n"/>
      <c r="K97" s="27" t="n"/>
      <c r="L97" s="27" t="n"/>
      <c r="M97" s="27" t="n"/>
      <c r="N97" s="27" t="n"/>
      <c r="O97" s="27" t="n"/>
      <c r="P97" s="27" t="n"/>
      <c r="Q97" s="27" t="n"/>
      <c r="R97" s="27" t="n"/>
      <c r="S97" s="27" t="n"/>
      <c r="T97" s="27" t="n"/>
      <c r="U97" s="27" t="n"/>
      <c r="V97" s="28">
        <f>IF(A97="","",IF(COUNTIF($A$5:$A$154,A97)&gt;1,"DUPLICATE","UNIQUE"))</f>
        <v/>
      </c>
      <c r="W97" s="28">
        <f>IF(A97="","",IF(T97="Rejected","REJECTED",IF(AND(B97&lt;&gt;"",C97&lt;&gt;"",D97&lt;&gt;"",E97&lt;&gt;"",F97&lt;&gt;"",G97&lt;&gt;"",H97&lt;&gt;"",I97&lt;&gt;"",J97&lt;&gt;"",M97&lt;&gt;"",O97&lt;&gt;"",T97&lt;&gt;""),"COMPLETE","MISSING FIELDS")))</f>
        <v/>
      </c>
    </row>
    <row r="98" ht="15" customHeight="1" s="15">
      <c r="A98" s="27" t="n"/>
      <c r="B98" s="27" t="n"/>
      <c r="C98" s="27" t="n"/>
      <c r="D98" s="27" t="n"/>
      <c r="E98" s="27" t="n"/>
      <c r="F98" s="27" t="n"/>
      <c r="G98" s="27" t="n"/>
      <c r="H98" s="27" t="n"/>
      <c r="I98" s="27" t="n"/>
      <c r="J98" s="27" t="n"/>
      <c r="K98" s="27" t="n"/>
      <c r="L98" s="27" t="n"/>
      <c r="M98" s="27" t="n"/>
      <c r="N98" s="27" t="n"/>
      <c r="O98" s="27" t="n"/>
      <c r="P98" s="27" t="n"/>
      <c r="Q98" s="27" t="n"/>
      <c r="R98" s="27" t="n"/>
      <c r="S98" s="27" t="n"/>
      <c r="T98" s="27" t="n"/>
      <c r="U98" s="27" t="n"/>
      <c r="V98" s="28">
        <f>IF(A98="","",IF(COUNTIF($A$5:$A$154,A98)&gt;1,"DUPLICATE","UNIQUE"))</f>
        <v/>
      </c>
      <c r="W98" s="28">
        <f>IF(A98="","",IF(T98="Rejected","REJECTED",IF(AND(B98&lt;&gt;"",C98&lt;&gt;"",D98&lt;&gt;"",E98&lt;&gt;"",F98&lt;&gt;"",G98&lt;&gt;"",H98&lt;&gt;"",I98&lt;&gt;"",J98&lt;&gt;"",M98&lt;&gt;"",O98&lt;&gt;"",T98&lt;&gt;""),"COMPLETE","MISSING FIELDS")))</f>
        <v/>
      </c>
    </row>
    <row r="99" ht="15" customHeight="1" s="15">
      <c r="A99" s="27" t="n"/>
      <c r="B99" s="27" t="n"/>
      <c r="C99" s="27" t="n"/>
      <c r="D99" s="27" t="n"/>
      <c r="E99" s="27" t="n"/>
      <c r="F99" s="27" t="n"/>
      <c r="G99" s="27" t="n"/>
      <c r="H99" s="27" t="n"/>
      <c r="I99" s="27" t="n"/>
      <c r="J99" s="27" t="n"/>
      <c r="K99" s="27" t="n"/>
      <c r="L99" s="27" t="n"/>
      <c r="M99" s="27" t="n"/>
      <c r="N99" s="27" t="n"/>
      <c r="O99" s="27" t="n"/>
      <c r="P99" s="27" t="n"/>
      <c r="Q99" s="27" t="n"/>
      <c r="R99" s="27" t="n"/>
      <c r="S99" s="27" t="n"/>
      <c r="T99" s="27" t="n"/>
      <c r="U99" s="27" t="n"/>
      <c r="V99" s="28">
        <f>IF(A99="","",IF(COUNTIF($A$5:$A$154,A99)&gt;1,"DUPLICATE","UNIQUE"))</f>
        <v/>
      </c>
      <c r="W99" s="28">
        <f>IF(A99="","",IF(T99="Rejected","REJECTED",IF(AND(B99&lt;&gt;"",C99&lt;&gt;"",D99&lt;&gt;"",E99&lt;&gt;"",F99&lt;&gt;"",G99&lt;&gt;"",H99&lt;&gt;"",I99&lt;&gt;"",J99&lt;&gt;"",M99&lt;&gt;"",O99&lt;&gt;"",T99&lt;&gt;""),"COMPLETE","MISSING FIELDS")))</f>
        <v/>
      </c>
    </row>
    <row r="100" ht="15" customHeight="1" s="15">
      <c r="A100" s="27" t="n"/>
      <c r="B100" s="27" t="n"/>
      <c r="C100" s="27" t="n"/>
      <c r="D100" s="27" t="n"/>
      <c r="E100" s="27" t="n"/>
      <c r="F100" s="27" t="n"/>
      <c r="G100" s="27" t="n"/>
      <c r="H100" s="27" t="n"/>
      <c r="I100" s="27" t="n"/>
      <c r="J100" s="27" t="n"/>
      <c r="K100" s="27" t="n"/>
      <c r="L100" s="27" t="n"/>
      <c r="M100" s="27" t="n"/>
      <c r="N100" s="27" t="n"/>
      <c r="O100" s="27" t="n"/>
      <c r="P100" s="27" t="n"/>
      <c r="Q100" s="27" t="n"/>
      <c r="R100" s="27" t="n"/>
      <c r="S100" s="27" t="n"/>
      <c r="T100" s="27" t="n"/>
      <c r="U100" s="27" t="n"/>
      <c r="V100" s="28">
        <f>IF(A100="","",IF(COUNTIF($A$5:$A$154,A100)&gt;1,"DUPLICATE","UNIQUE"))</f>
        <v/>
      </c>
      <c r="W100" s="28">
        <f>IF(A100="","",IF(T100="Rejected","REJECTED",IF(AND(B100&lt;&gt;"",C100&lt;&gt;"",D100&lt;&gt;"",E100&lt;&gt;"",F100&lt;&gt;"",G100&lt;&gt;"",H100&lt;&gt;"",I100&lt;&gt;"",J100&lt;&gt;"",M100&lt;&gt;"",O100&lt;&gt;"",T100&lt;&gt;""),"COMPLETE","MISSING FIELDS")))</f>
        <v/>
      </c>
    </row>
    <row r="101" ht="15" customHeight="1" s="15">
      <c r="A101" s="27" t="n"/>
      <c r="B101" s="27" t="n"/>
      <c r="C101" s="27" t="n"/>
      <c r="D101" s="27" t="n"/>
      <c r="E101" s="27" t="n"/>
      <c r="F101" s="27" t="n"/>
      <c r="G101" s="27" t="n"/>
      <c r="H101" s="27" t="n"/>
      <c r="I101" s="27" t="n"/>
      <c r="J101" s="27" t="n"/>
      <c r="K101" s="27" t="n"/>
      <c r="L101" s="27" t="n"/>
      <c r="M101" s="27" t="n"/>
      <c r="N101" s="27" t="n"/>
      <c r="O101" s="27" t="n"/>
      <c r="P101" s="27" t="n"/>
      <c r="Q101" s="27" t="n"/>
      <c r="R101" s="27" t="n"/>
      <c r="S101" s="27" t="n"/>
      <c r="T101" s="27" t="n"/>
      <c r="U101" s="27" t="n"/>
      <c r="V101" s="28">
        <f>IF(A101="","",IF(COUNTIF($A$5:$A$154,A101)&gt;1,"DUPLICATE","UNIQUE"))</f>
        <v/>
      </c>
      <c r="W101" s="28">
        <f>IF(A101="","",IF(T101="Rejected","REJECTED",IF(AND(B101&lt;&gt;"",C101&lt;&gt;"",D101&lt;&gt;"",E101&lt;&gt;"",F101&lt;&gt;"",G101&lt;&gt;"",H101&lt;&gt;"",I101&lt;&gt;"",J101&lt;&gt;"",M101&lt;&gt;"",O101&lt;&gt;"",T101&lt;&gt;""),"COMPLETE","MISSING FIELDS")))</f>
        <v/>
      </c>
    </row>
    <row r="102" ht="15" customHeight="1" s="15">
      <c r="A102" s="27" t="n"/>
      <c r="B102" s="27" t="n"/>
      <c r="C102" s="27" t="n"/>
      <c r="D102" s="27" t="n"/>
      <c r="E102" s="27" t="n"/>
      <c r="F102" s="27" t="n"/>
      <c r="G102" s="27" t="n"/>
      <c r="H102" s="27" t="n"/>
      <c r="I102" s="27" t="n"/>
      <c r="J102" s="27" t="n"/>
      <c r="K102" s="27" t="n"/>
      <c r="L102" s="27" t="n"/>
      <c r="M102" s="27" t="n"/>
      <c r="N102" s="27" t="n"/>
      <c r="O102" s="27" t="n"/>
      <c r="P102" s="27" t="n"/>
      <c r="Q102" s="27" t="n"/>
      <c r="R102" s="27" t="n"/>
      <c r="S102" s="27" t="n"/>
      <c r="T102" s="27" t="n"/>
      <c r="U102" s="27" t="n"/>
      <c r="V102" s="28">
        <f>IF(A102="","",IF(COUNTIF($A$5:$A$154,A102)&gt;1,"DUPLICATE","UNIQUE"))</f>
        <v/>
      </c>
      <c r="W102" s="28">
        <f>IF(A102="","",IF(T102="Rejected","REJECTED",IF(AND(B102&lt;&gt;"",C102&lt;&gt;"",D102&lt;&gt;"",E102&lt;&gt;"",F102&lt;&gt;"",G102&lt;&gt;"",H102&lt;&gt;"",I102&lt;&gt;"",J102&lt;&gt;"",M102&lt;&gt;"",O102&lt;&gt;"",T102&lt;&gt;""),"COMPLETE","MISSING FIELDS")))</f>
        <v/>
      </c>
    </row>
    <row r="103" ht="15" customHeight="1" s="15">
      <c r="A103" s="27" t="n"/>
      <c r="B103" s="27" t="n"/>
      <c r="C103" s="27" t="n"/>
      <c r="D103" s="27" t="n"/>
      <c r="E103" s="27" t="n"/>
      <c r="F103" s="27" t="n"/>
      <c r="G103" s="27" t="n"/>
      <c r="H103" s="27" t="n"/>
      <c r="I103" s="27" t="n"/>
      <c r="J103" s="27" t="n"/>
      <c r="K103" s="27" t="n"/>
      <c r="L103" s="27" t="n"/>
      <c r="M103" s="27" t="n"/>
      <c r="N103" s="27" t="n"/>
      <c r="O103" s="27" t="n"/>
      <c r="P103" s="27" t="n"/>
      <c r="Q103" s="27" t="n"/>
      <c r="R103" s="27" t="n"/>
      <c r="S103" s="27" t="n"/>
      <c r="T103" s="27" t="n"/>
      <c r="U103" s="27" t="n"/>
      <c r="V103" s="28">
        <f>IF(A103="","",IF(COUNTIF($A$5:$A$154,A103)&gt;1,"DUPLICATE","UNIQUE"))</f>
        <v/>
      </c>
      <c r="W103" s="28">
        <f>IF(A103="","",IF(T103="Rejected","REJECTED",IF(AND(B103&lt;&gt;"",C103&lt;&gt;"",D103&lt;&gt;"",E103&lt;&gt;"",F103&lt;&gt;"",G103&lt;&gt;"",H103&lt;&gt;"",I103&lt;&gt;"",J103&lt;&gt;"",M103&lt;&gt;"",O103&lt;&gt;"",T103&lt;&gt;""),"COMPLETE","MISSING FIELDS")))</f>
        <v/>
      </c>
    </row>
    <row r="104" ht="15" customHeight="1" s="15">
      <c r="A104" s="27" t="n"/>
      <c r="B104" s="27" t="n"/>
      <c r="C104" s="27" t="n"/>
      <c r="D104" s="27" t="n"/>
      <c r="E104" s="27" t="n"/>
      <c r="F104" s="27" t="n"/>
      <c r="G104" s="27" t="n"/>
      <c r="H104" s="27" t="n"/>
      <c r="I104" s="27" t="n"/>
      <c r="J104" s="27" t="n"/>
      <c r="K104" s="27" t="n"/>
      <c r="L104" s="27" t="n"/>
      <c r="M104" s="27" t="n"/>
      <c r="N104" s="27" t="n"/>
      <c r="O104" s="27" t="n"/>
      <c r="P104" s="27" t="n"/>
      <c r="Q104" s="27" t="n"/>
      <c r="R104" s="27" t="n"/>
      <c r="S104" s="27" t="n"/>
      <c r="T104" s="27" t="n"/>
      <c r="U104" s="27" t="n"/>
      <c r="V104" s="28">
        <f>IF(A104="","",IF(COUNTIF($A$5:$A$154,A104)&gt;1,"DUPLICATE","UNIQUE"))</f>
        <v/>
      </c>
      <c r="W104" s="28">
        <f>IF(A104="","",IF(T104="Rejected","REJECTED",IF(AND(B104&lt;&gt;"",C104&lt;&gt;"",D104&lt;&gt;"",E104&lt;&gt;"",F104&lt;&gt;"",G104&lt;&gt;"",H104&lt;&gt;"",I104&lt;&gt;"",J104&lt;&gt;"",M104&lt;&gt;"",O104&lt;&gt;"",T104&lt;&gt;""),"COMPLETE","MISSING FIELDS")))</f>
        <v/>
      </c>
    </row>
    <row r="105" ht="15" customHeight="1" s="15">
      <c r="A105" s="27" t="n"/>
      <c r="B105" s="27" t="n"/>
      <c r="C105" s="27" t="n"/>
      <c r="D105" s="27" t="n"/>
      <c r="E105" s="27" t="n"/>
      <c r="F105" s="27" t="n"/>
      <c r="G105" s="27" t="n"/>
      <c r="H105" s="27" t="n"/>
      <c r="I105" s="27" t="n"/>
      <c r="J105" s="27" t="n"/>
      <c r="K105" s="27" t="n"/>
      <c r="L105" s="27" t="n"/>
      <c r="M105" s="27" t="n"/>
      <c r="N105" s="27" t="n"/>
      <c r="O105" s="27" t="n"/>
      <c r="P105" s="27" t="n"/>
      <c r="Q105" s="27" t="n"/>
      <c r="R105" s="27" t="n"/>
      <c r="S105" s="27" t="n"/>
      <c r="T105" s="27" t="n"/>
      <c r="U105" s="27" t="n"/>
      <c r="V105" s="28">
        <f>IF(A105="","",IF(COUNTIF($A$5:$A$154,A105)&gt;1,"DUPLICATE","UNIQUE"))</f>
        <v/>
      </c>
      <c r="W105" s="28">
        <f>IF(A105="","",IF(T105="Rejected","REJECTED",IF(AND(B105&lt;&gt;"",C105&lt;&gt;"",D105&lt;&gt;"",E105&lt;&gt;"",F105&lt;&gt;"",G105&lt;&gt;"",H105&lt;&gt;"",I105&lt;&gt;"",J105&lt;&gt;"",M105&lt;&gt;"",O105&lt;&gt;"",T105&lt;&gt;""),"COMPLETE","MISSING FIELDS")))</f>
        <v/>
      </c>
    </row>
    <row r="106" ht="15" customHeight="1" s="15">
      <c r="A106" s="27" t="n"/>
      <c r="B106" s="27" t="n"/>
      <c r="C106" s="27" t="n"/>
      <c r="D106" s="27" t="n"/>
      <c r="E106" s="27" t="n"/>
      <c r="F106" s="27" t="n"/>
      <c r="G106" s="27" t="n"/>
      <c r="H106" s="27" t="n"/>
      <c r="I106" s="27" t="n"/>
      <c r="J106" s="27" t="n"/>
      <c r="K106" s="27" t="n"/>
      <c r="L106" s="27" t="n"/>
      <c r="M106" s="27" t="n"/>
      <c r="N106" s="27" t="n"/>
      <c r="O106" s="27" t="n"/>
      <c r="P106" s="27" t="n"/>
      <c r="Q106" s="27" t="n"/>
      <c r="R106" s="27" t="n"/>
      <c r="S106" s="27" t="n"/>
      <c r="T106" s="27" t="n"/>
      <c r="U106" s="27" t="n"/>
      <c r="V106" s="28">
        <f>IF(A106="","",IF(COUNTIF($A$5:$A$154,A106)&gt;1,"DUPLICATE","UNIQUE"))</f>
        <v/>
      </c>
      <c r="W106" s="28">
        <f>IF(A106="","",IF(T106="Rejected","REJECTED",IF(AND(B106&lt;&gt;"",C106&lt;&gt;"",D106&lt;&gt;"",E106&lt;&gt;"",F106&lt;&gt;"",G106&lt;&gt;"",H106&lt;&gt;"",I106&lt;&gt;"",J106&lt;&gt;"",M106&lt;&gt;"",O106&lt;&gt;"",T106&lt;&gt;""),"COMPLETE","MISSING FIELDS")))</f>
        <v/>
      </c>
    </row>
    <row r="107" ht="15" customHeight="1" s="15">
      <c r="A107" s="27" t="n"/>
      <c r="B107" s="27" t="n"/>
      <c r="C107" s="27" t="n"/>
      <c r="D107" s="27" t="n"/>
      <c r="E107" s="27" t="n"/>
      <c r="F107" s="27" t="n"/>
      <c r="G107" s="27" t="n"/>
      <c r="H107" s="27" t="n"/>
      <c r="I107" s="27" t="n"/>
      <c r="J107" s="27" t="n"/>
      <c r="K107" s="27" t="n"/>
      <c r="L107" s="27" t="n"/>
      <c r="M107" s="27" t="n"/>
      <c r="N107" s="27" t="n"/>
      <c r="O107" s="27" t="n"/>
      <c r="P107" s="27" t="n"/>
      <c r="Q107" s="27" t="n"/>
      <c r="R107" s="27" t="n"/>
      <c r="S107" s="27" t="n"/>
      <c r="T107" s="27" t="n"/>
      <c r="U107" s="27" t="n"/>
      <c r="V107" s="28">
        <f>IF(A107="","",IF(COUNTIF($A$5:$A$154,A107)&gt;1,"DUPLICATE","UNIQUE"))</f>
        <v/>
      </c>
      <c r="W107" s="28">
        <f>IF(A107="","",IF(T107="Rejected","REJECTED",IF(AND(B107&lt;&gt;"",C107&lt;&gt;"",D107&lt;&gt;"",E107&lt;&gt;"",F107&lt;&gt;"",G107&lt;&gt;"",H107&lt;&gt;"",I107&lt;&gt;"",J107&lt;&gt;"",M107&lt;&gt;"",O107&lt;&gt;"",T107&lt;&gt;""),"COMPLETE","MISSING FIELDS")))</f>
        <v/>
      </c>
    </row>
    <row r="108" ht="15" customHeight="1" s="15">
      <c r="A108" s="27" t="n"/>
      <c r="B108" s="27" t="n"/>
      <c r="C108" s="27" t="n"/>
      <c r="D108" s="27" t="n"/>
      <c r="E108" s="27" t="n"/>
      <c r="F108" s="27" t="n"/>
      <c r="G108" s="27" t="n"/>
      <c r="H108" s="27" t="n"/>
      <c r="I108" s="27" t="n"/>
      <c r="J108" s="27" t="n"/>
      <c r="K108" s="27" t="n"/>
      <c r="L108" s="27" t="n"/>
      <c r="M108" s="27" t="n"/>
      <c r="N108" s="27" t="n"/>
      <c r="O108" s="27" t="n"/>
      <c r="P108" s="27" t="n"/>
      <c r="Q108" s="27" t="n"/>
      <c r="R108" s="27" t="n"/>
      <c r="S108" s="27" t="n"/>
      <c r="T108" s="27" t="n"/>
      <c r="U108" s="27" t="n"/>
      <c r="V108" s="28">
        <f>IF(A108="","",IF(COUNTIF($A$5:$A$154,A108)&gt;1,"DUPLICATE","UNIQUE"))</f>
        <v/>
      </c>
      <c r="W108" s="28">
        <f>IF(A108="","",IF(T108="Rejected","REJECTED",IF(AND(B108&lt;&gt;"",C108&lt;&gt;"",D108&lt;&gt;"",E108&lt;&gt;"",F108&lt;&gt;"",G108&lt;&gt;"",H108&lt;&gt;"",I108&lt;&gt;"",J108&lt;&gt;"",M108&lt;&gt;"",O108&lt;&gt;"",T108&lt;&gt;""),"COMPLETE","MISSING FIELDS")))</f>
        <v/>
      </c>
    </row>
    <row r="109" ht="15" customHeight="1" s="15">
      <c r="A109" s="27" t="n"/>
      <c r="B109" s="27" t="n"/>
      <c r="C109" s="27" t="n"/>
      <c r="D109" s="27" t="n"/>
      <c r="E109" s="27" t="n"/>
      <c r="F109" s="27" t="n"/>
      <c r="G109" s="27" t="n"/>
      <c r="H109" s="27" t="n"/>
      <c r="I109" s="27" t="n"/>
      <c r="J109" s="27" t="n"/>
      <c r="K109" s="27" t="n"/>
      <c r="L109" s="27" t="n"/>
      <c r="M109" s="27" t="n"/>
      <c r="N109" s="27" t="n"/>
      <c r="O109" s="27" t="n"/>
      <c r="P109" s="27" t="n"/>
      <c r="Q109" s="27" t="n"/>
      <c r="R109" s="27" t="n"/>
      <c r="S109" s="27" t="n"/>
      <c r="T109" s="27" t="n"/>
      <c r="U109" s="27" t="n"/>
      <c r="V109" s="28">
        <f>IF(A109="","",IF(COUNTIF($A$5:$A$154,A109)&gt;1,"DUPLICATE","UNIQUE"))</f>
        <v/>
      </c>
      <c r="W109" s="28">
        <f>IF(A109="","",IF(T109="Rejected","REJECTED",IF(AND(B109&lt;&gt;"",C109&lt;&gt;"",D109&lt;&gt;"",E109&lt;&gt;"",F109&lt;&gt;"",G109&lt;&gt;"",H109&lt;&gt;"",I109&lt;&gt;"",J109&lt;&gt;"",M109&lt;&gt;"",O109&lt;&gt;"",T109&lt;&gt;""),"COMPLETE","MISSING FIELDS")))</f>
        <v/>
      </c>
    </row>
    <row r="110" ht="15" customHeight="1" s="15">
      <c r="A110" s="27" t="n"/>
      <c r="B110" s="27" t="n"/>
      <c r="C110" s="27" t="n"/>
      <c r="D110" s="27" t="n"/>
      <c r="E110" s="27" t="n"/>
      <c r="F110" s="27" t="n"/>
      <c r="G110" s="27" t="n"/>
      <c r="H110" s="27" t="n"/>
      <c r="I110" s="27" t="n"/>
      <c r="J110" s="27" t="n"/>
      <c r="K110" s="27" t="n"/>
      <c r="L110" s="27" t="n"/>
      <c r="M110" s="27" t="n"/>
      <c r="N110" s="27" t="n"/>
      <c r="O110" s="27" t="n"/>
      <c r="P110" s="27" t="n"/>
      <c r="Q110" s="27" t="n"/>
      <c r="R110" s="27" t="n"/>
      <c r="S110" s="27" t="n"/>
      <c r="T110" s="27" t="n"/>
      <c r="U110" s="27" t="n"/>
      <c r="V110" s="28">
        <f>IF(A110="","",IF(COUNTIF($A$5:$A$154,A110)&gt;1,"DUPLICATE","UNIQUE"))</f>
        <v/>
      </c>
      <c r="W110" s="28">
        <f>IF(A110="","",IF(T110="Rejected","REJECTED",IF(AND(B110&lt;&gt;"",C110&lt;&gt;"",D110&lt;&gt;"",E110&lt;&gt;"",F110&lt;&gt;"",G110&lt;&gt;"",H110&lt;&gt;"",I110&lt;&gt;"",J110&lt;&gt;"",M110&lt;&gt;"",O110&lt;&gt;"",T110&lt;&gt;""),"COMPLETE","MISSING FIELDS")))</f>
        <v/>
      </c>
    </row>
    <row r="111" ht="15" customHeight="1" s="15">
      <c r="A111" s="27" t="n"/>
      <c r="B111" s="27" t="n"/>
      <c r="C111" s="27" t="n"/>
      <c r="D111" s="27" t="n"/>
      <c r="E111" s="27" t="n"/>
      <c r="F111" s="27" t="n"/>
      <c r="G111" s="27" t="n"/>
      <c r="H111" s="27" t="n"/>
      <c r="I111" s="27" t="n"/>
      <c r="J111" s="27" t="n"/>
      <c r="K111" s="27" t="n"/>
      <c r="L111" s="27" t="n"/>
      <c r="M111" s="27" t="n"/>
      <c r="N111" s="27" t="n"/>
      <c r="O111" s="27" t="n"/>
      <c r="P111" s="27" t="n"/>
      <c r="Q111" s="27" t="n"/>
      <c r="R111" s="27" t="n"/>
      <c r="S111" s="27" t="n"/>
      <c r="T111" s="27" t="n"/>
      <c r="U111" s="27" t="n"/>
      <c r="V111" s="28">
        <f>IF(A111="","",IF(COUNTIF($A$5:$A$154,A111)&gt;1,"DUPLICATE","UNIQUE"))</f>
        <v/>
      </c>
      <c r="W111" s="28">
        <f>IF(A111="","",IF(T111="Rejected","REJECTED",IF(AND(B111&lt;&gt;"",C111&lt;&gt;"",D111&lt;&gt;"",E111&lt;&gt;"",F111&lt;&gt;"",G111&lt;&gt;"",H111&lt;&gt;"",I111&lt;&gt;"",J111&lt;&gt;"",M111&lt;&gt;"",O111&lt;&gt;"",T111&lt;&gt;""),"COMPLETE","MISSING FIELDS")))</f>
        <v/>
      </c>
    </row>
    <row r="112" ht="15" customHeight="1" s="15">
      <c r="A112" s="27" t="n"/>
      <c r="B112" s="27" t="n"/>
      <c r="C112" s="27" t="n"/>
      <c r="D112" s="27" t="n"/>
      <c r="E112" s="27" t="n"/>
      <c r="F112" s="27" t="n"/>
      <c r="G112" s="27" t="n"/>
      <c r="H112" s="27" t="n"/>
      <c r="I112" s="27" t="n"/>
      <c r="J112" s="27" t="n"/>
      <c r="K112" s="27" t="n"/>
      <c r="L112" s="27" t="n"/>
      <c r="M112" s="27" t="n"/>
      <c r="N112" s="27" t="n"/>
      <c r="O112" s="27" t="n"/>
      <c r="P112" s="27" t="n"/>
      <c r="Q112" s="27" t="n"/>
      <c r="R112" s="27" t="n"/>
      <c r="S112" s="27" t="n"/>
      <c r="T112" s="27" t="n"/>
      <c r="U112" s="27" t="n"/>
      <c r="V112" s="28">
        <f>IF(A112="","",IF(COUNTIF($A$5:$A$154,A112)&gt;1,"DUPLICATE","UNIQUE"))</f>
        <v/>
      </c>
      <c r="W112" s="28">
        <f>IF(A112="","",IF(T112="Rejected","REJECTED",IF(AND(B112&lt;&gt;"",C112&lt;&gt;"",D112&lt;&gt;"",E112&lt;&gt;"",F112&lt;&gt;"",G112&lt;&gt;"",H112&lt;&gt;"",I112&lt;&gt;"",J112&lt;&gt;"",M112&lt;&gt;"",O112&lt;&gt;"",T112&lt;&gt;""),"COMPLETE","MISSING FIELDS")))</f>
        <v/>
      </c>
    </row>
    <row r="113" ht="15" customHeight="1" s="15">
      <c r="A113" s="27" t="n"/>
      <c r="B113" s="27" t="n"/>
      <c r="C113" s="27" t="n"/>
      <c r="D113" s="27" t="n"/>
      <c r="E113" s="27" t="n"/>
      <c r="F113" s="27" t="n"/>
      <c r="G113" s="27" t="n"/>
      <c r="H113" s="27" t="n"/>
      <c r="I113" s="27" t="n"/>
      <c r="J113" s="27" t="n"/>
      <c r="K113" s="27" t="n"/>
      <c r="L113" s="27" t="n"/>
      <c r="M113" s="27" t="n"/>
      <c r="N113" s="27" t="n"/>
      <c r="O113" s="27" t="n"/>
      <c r="P113" s="27" t="n"/>
      <c r="Q113" s="27" t="n"/>
      <c r="R113" s="27" t="n"/>
      <c r="S113" s="27" t="n"/>
      <c r="T113" s="27" t="n"/>
      <c r="U113" s="27" t="n"/>
      <c r="V113" s="28">
        <f>IF(A113="","",IF(COUNTIF($A$5:$A$154,A113)&gt;1,"DUPLICATE","UNIQUE"))</f>
        <v/>
      </c>
      <c r="W113" s="28">
        <f>IF(A113="","",IF(T113="Rejected","REJECTED",IF(AND(B113&lt;&gt;"",C113&lt;&gt;"",D113&lt;&gt;"",E113&lt;&gt;"",F113&lt;&gt;"",G113&lt;&gt;"",H113&lt;&gt;"",I113&lt;&gt;"",J113&lt;&gt;"",M113&lt;&gt;"",O113&lt;&gt;"",T113&lt;&gt;""),"COMPLETE","MISSING FIELDS")))</f>
        <v/>
      </c>
    </row>
    <row r="114" ht="15" customHeight="1" s="15">
      <c r="A114" s="27" t="n"/>
      <c r="B114" s="27" t="n"/>
      <c r="C114" s="27" t="n"/>
      <c r="D114" s="27" t="n"/>
      <c r="E114" s="27" t="n"/>
      <c r="F114" s="27" t="n"/>
      <c r="G114" s="27" t="n"/>
      <c r="H114" s="27" t="n"/>
      <c r="I114" s="27" t="n"/>
      <c r="J114" s="27" t="n"/>
      <c r="K114" s="27" t="n"/>
      <c r="L114" s="27" t="n"/>
      <c r="M114" s="27" t="n"/>
      <c r="N114" s="27" t="n"/>
      <c r="O114" s="27" t="n"/>
      <c r="P114" s="27" t="n"/>
      <c r="Q114" s="27" t="n"/>
      <c r="R114" s="27" t="n"/>
      <c r="S114" s="27" t="n"/>
      <c r="T114" s="27" t="n"/>
      <c r="U114" s="27" t="n"/>
      <c r="V114" s="28">
        <f>IF(A114="","",IF(COUNTIF($A$5:$A$154,A114)&gt;1,"DUPLICATE","UNIQUE"))</f>
        <v/>
      </c>
      <c r="W114" s="28">
        <f>IF(A114="","",IF(T114="Rejected","REJECTED",IF(AND(B114&lt;&gt;"",C114&lt;&gt;"",D114&lt;&gt;"",E114&lt;&gt;"",F114&lt;&gt;"",G114&lt;&gt;"",H114&lt;&gt;"",I114&lt;&gt;"",J114&lt;&gt;"",M114&lt;&gt;"",O114&lt;&gt;"",T114&lt;&gt;""),"COMPLETE","MISSING FIELDS")))</f>
        <v/>
      </c>
    </row>
    <row r="115" ht="15" customHeight="1" s="15">
      <c r="A115" s="27" t="n"/>
      <c r="B115" s="27" t="n"/>
      <c r="C115" s="27" t="n"/>
      <c r="D115" s="27" t="n"/>
      <c r="E115" s="27" t="n"/>
      <c r="F115" s="27" t="n"/>
      <c r="G115" s="27" t="n"/>
      <c r="H115" s="27" t="n"/>
      <c r="I115" s="27" t="n"/>
      <c r="J115" s="27" t="n"/>
      <c r="K115" s="27" t="n"/>
      <c r="L115" s="27" t="n"/>
      <c r="M115" s="27" t="n"/>
      <c r="N115" s="27" t="n"/>
      <c r="O115" s="27" t="n"/>
      <c r="P115" s="27" t="n"/>
      <c r="Q115" s="27" t="n"/>
      <c r="R115" s="27" t="n"/>
      <c r="S115" s="27" t="n"/>
      <c r="T115" s="27" t="n"/>
      <c r="U115" s="27" t="n"/>
      <c r="V115" s="28">
        <f>IF(A115="","",IF(COUNTIF($A$5:$A$154,A115)&gt;1,"DUPLICATE","UNIQUE"))</f>
        <v/>
      </c>
      <c r="W115" s="28">
        <f>IF(A115="","",IF(T115="Rejected","REJECTED",IF(AND(B115&lt;&gt;"",C115&lt;&gt;"",D115&lt;&gt;"",E115&lt;&gt;"",F115&lt;&gt;"",G115&lt;&gt;"",H115&lt;&gt;"",I115&lt;&gt;"",J115&lt;&gt;"",M115&lt;&gt;"",O115&lt;&gt;"",T115&lt;&gt;""),"COMPLETE","MISSING FIELDS")))</f>
        <v/>
      </c>
    </row>
    <row r="116" ht="15" customHeight="1" s="15">
      <c r="A116" s="27" t="n"/>
      <c r="B116" s="27" t="n"/>
      <c r="C116" s="27" t="n"/>
      <c r="D116" s="27" t="n"/>
      <c r="E116" s="27" t="n"/>
      <c r="F116" s="27" t="n"/>
      <c r="G116" s="27" t="n"/>
      <c r="H116" s="27" t="n"/>
      <c r="I116" s="27" t="n"/>
      <c r="J116" s="27" t="n"/>
      <c r="K116" s="27" t="n"/>
      <c r="L116" s="27" t="n"/>
      <c r="M116" s="27" t="n"/>
      <c r="N116" s="27" t="n"/>
      <c r="O116" s="27" t="n"/>
      <c r="P116" s="27" t="n"/>
      <c r="Q116" s="27" t="n"/>
      <c r="R116" s="27" t="n"/>
      <c r="S116" s="27" t="n"/>
      <c r="T116" s="27" t="n"/>
      <c r="U116" s="27" t="n"/>
      <c r="V116" s="28">
        <f>IF(A116="","",IF(COUNTIF($A$5:$A$154,A116)&gt;1,"DUPLICATE","UNIQUE"))</f>
        <v/>
      </c>
      <c r="W116" s="28">
        <f>IF(A116="","",IF(T116="Rejected","REJECTED",IF(AND(B116&lt;&gt;"",C116&lt;&gt;"",D116&lt;&gt;"",E116&lt;&gt;"",F116&lt;&gt;"",G116&lt;&gt;"",H116&lt;&gt;"",I116&lt;&gt;"",J116&lt;&gt;"",M116&lt;&gt;"",O116&lt;&gt;"",T116&lt;&gt;""),"COMPLETE","MISSING FIELDS")))</f>
        <v/>
      </c>
    </row>
    <row r="117" ht="15" customHeight="1" s="15">
      <c r="A117" s="27" t="n"/>
      <c r="B117" s="27" t="n"/>
      <c r="C117" s="27" t="n"/>
      <c r="D117" s="27" t="n"/>
      <c r="E117" s="27" t="n"/>
      <c r="F117" s="27" t="n"/>
      <c r="G117" s="27" t="n"/>
      <c r="H117" s="27" t="n"/>
      <c r="I117" s="27" t="n"/>
      <c r="J117" s="27" t="n"/>
      <c r="K117" s="27" t="n"/>
      <c r="L117" s="27" t="n"/>
      <c r="M117" s="27" t="n"/>
      <c r="N117" s="27" t="n"/>
      <c r="O117" s="27" t="n"/>
      <c r="P117" s="27" t="n"/>
      <c r="Q117" s="27" t="n"/>
      <c r="R117" s="27" t="n"/>
      <c r="S117" s="27" t="n"/>
      <c r="T117" s="27" t="n"/>
      <c r="U117" s="27" t="n"/>
      <c r="V117" s="28">
        <f>IF(A117="","",IF(COUNTIF($A$5:$A$154,A117)&gt;1,"DUPLICATE","UNIQUE"))</f>
        <v/>
      </c>
      <c r="W117" s="28">
        <f>IF(A117="","",IF(T117="Rejected","REJECTED",IF(AND(B117&lt;&gt;"",C117&lt;&gt;"",D117&lt;&gt;"",E117&lt;&gt;"",F117&lt;&gt;"",G117&lt;&gt;"",H117&lt;&gt;"",I117&lt;&gt;"",J117&lt;&gt;"",M117&lt;&gt;"",O117&lt;&gt;"",T117&lt;&gt;""),"COMPLETE","MISSING FIELDS")))</f>
        <v/>
      </c>
    </row>
    <row r="118" ht="15" customHeight="1" s="15">
      <c r="A118" s="27" t="n"/>
      <c r="B118" s="27" t="n"/>
      <c r="C118" s="27" t="n"/>
      <c r="D118" s="27" t="n"/>
      <c r="E118" s="27" t="n"/>
      <c r="F118" s="27" t="n"/>
      <c r="G118" s="27" t="n"/>
      <c r="H118" s="27" t="n"/>
      <c r="I118" s="27" t="n"/>
      <c r="J118" s="27" t="n"/>
      <c r="K118" s="27" t="n"/>
      <c r="L118" s="27" t="n"/>
      <c r="M118" s="27" t="n"/>
      <c r="N118" s="27" t="n"/>
      <c r="O118" s="27" t="n"/>
      <c r="P118" s="27" t="n"/>
      <c r="Q118" s="27" t="n"/>
      <c r="R118" s="27" t="n"/>
      <c r="S118" s="27" t="n"/>
      <c r="T118" s="27" t="n"/>
      <c r="U118" s="27" t="n"/>
      <c r="V118" s="28">
        <f>IF(A118="","",IF(COUNTIF($A$5:$A$154,A118)&gt;1,"DUPLICATE","UNIQUE"))</f>
        <v/>
      </c>
      <c r="W118" s="28">
        <f>IF(A118="","",IF(T118="Rejected","REJECTED",IF(AND(B118&lt;&gt;"",C118&lt;&gt;"",D118&lt;&gt;"",E118&lt;&gt;"",F118&lt;&gt;"",G118&lt;&gt;"",H118&lt;&gt;"",I118&lt;&gt;"",J118&lt;&gt;"",M118&lt;&gt;"",O118&lt;&gt;"",T118&lt;&gt;""),"COMPLETE","MISSING FIELDS")))</f>
        <v/>
      </c>
    </row>
    <row r="119" ht="15" customHeight="1" s="15">
      <c r="A119" s="27" t="n"/>
      <c r="B119" s="27" t="n"/>
      <c r="C119" s="27" t="n"/>
      <c r="D119" s="27" t="n"/>
      <c r="E119" s="27" t="n"/>
      <c r="F119" s="27" t="n"/>
      <c r="G119" s="27" t="n"/>
      <c r="H119" s="27" t="n"/>
      <c r="I119" s="27" t="n"/>
      <c r="J119" s="27" t="n"/>
      <c r="K119" s="27" t="n"/>
      <c r="L119" s="27" t="n"/>
      <c r="M119" s="27" t="n"/>
      <c r="N119" s="27" t="n"/>
      <c r="O119" s="27" t="n"/>
      <c r="P119" s="27" t="n"/>
      <c r="Q119" s="27" t="n"/>
      <c r="R119" s="27" t="n"/>
      <c r="S119" s="27" t="n"/>
      <c r="T119" s="27" t="n"/>
      <c r="U119" s="27" t="n"/>
      <c r="V119" s="28">
        <f>IF(A119="","",IF(COUNTIF($A$5:$A$154,A119)&gt;1,"DUPLICATE","UNIQUE"))</f>
        <v/>
      </c>
      <c r="W119" s="28">
        <f>IF(A119="","",IF(T119="Rejected","REJECTED",IF(AND(B119&lt;&gt;"",C119&lt;&gt;"",D119&lt;&gt;"",E119&lt;&gt;"",F119&lt;&gt;"",G119&lt;&gt;"",H119&lt;&gt;"",I119&lt;&gt;"",J119&lt;&gt;"",M119&lt;&gt;"",O119&lt;&gt;"",T119&lt;&gt;""),"COMPLETE","MISSING FIELDS")))</f>
        <v/>
      </c>
    </row>
    <row r="120" ht="15" customHeight="1" s="15">
      <c r="A120" s="27" t="n"/>
      <c r="B120" s="27" t="n"/>
      <c r="C120" s="27" t="n"/>
      <c r="D120" s="27" t="n"/>
      <c r="E120" s="27" t="n"/>
      <c r="F120" s="27" t="n"/>
      <c r="G120" s="27" t="n"/>
      <c r="H120" s="27" t="n"/>
      <c r="I120" s="27" t="n"/>
      <c r="J120" s="27" t="n"/>
      <c r="K120" s="27" t="n"/>
      <c r="L120" s="27" t="n"/>
      <c r="M120" s="27" t="n"/>
      <c r="N120" s="27" t="n"/>
      <c r="O120" s="27" t="n"/>
      <c r="P120" s="27" t="n"/>
      <c r="Q120" s="27" t="n"/>
      <c r="R120" s="27" t="n"/>
      <c r="S120" s="27" t="n"/>
      <c r="T120" s="27" t="n"/>
      <c r="U120" s="27" t="n"/>
      <c r="V120" s="28">
        <f>IF(A120="","",IF(COUNTIF($A$5:$A$154,A120)&gt;1,"DUPLICATE","UNIQUE"))</f>
        <v/>
      </c>
      <c r="W120" s="28">
        <f>IF(A120="","",IF(T120="Rejected","REJECTED",IF(AND(B120&lt;&gt;"",C120&lt;&gt;"",D120&lt;&gt;"",E120&lt;&gt;"",F120&lt;&gt;"",G120&lt;&gt;"",H120&lt;&gt;"",I120&lt;&gt;"",J120&lt;&gt;"",M120&lt;&gt;"",O120&lt;&gt;"",T120&lt;&gt;""),"COMPLETE","MISSING FIELDS")))</f>
        <v/>
      </c>
    </row>
    <row r="121" ht="15" customHeight="1" s="15">
      <c r="A121" s="27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  <c r="T121" s="27" t="n"/>
      <c r="U121" s="27" t="n"/>
      <c r="V121" s="28">
        <f>IF(A121="","",IF(COUNTIF($A$5:$A$154,A121)&gt;1,"DUPLICATE","UNIQUE"))</f>
        <v/>
      </c>
      <c r="W121" s="28">
        <f>IF(A121="","",IF(T121="Rejected","REJECTED",IF(AND(B121&lt;&gt;"",C121&lt;&gt;"",D121&lt;&gt;"",E121&lt;&gt;"",F121&lt;&gt;"",G121&lt;&gt;"",H121&lt;&gt;"",I121&lt;&gt;"",J121&lt;&gt;"",M121&lt;&gt;"",O121&lt;&gt;"",T121&lt;&gt;""),"COMPLETE","MISSING FIELDS")))</f>
        <v/>
      </c>
    </row>
    <row r="122" ht="15" customHeight="1" s="15">
      <c r="A122" s="27" t="n"/>
      <c r="B122" s="27" t="n"/>
      <c r="C122" s="27" t="n"/>
      <c r="D122" s="27" t="n"/>
      <c r="E122" s="27" t="n"/>
      <c r="F122" s="27" t="n"/>
      <c r="G122" s="27" t="n"/>
      <c r="H122" s="27" t="n"/>
      <c r="I122" s="27" t="n"/>
      <c r="J122" s="27" t="n"/>
      <c r="K122" s="27" t="n"/>
      <c r="L122" s="27" t="n"/>
      <c r="M122" s="27" t="n"/>
      <c r="N122" s="27" t="n"/>
      <c r="O122" s="27" t="n"/>
      <c r="P122" s="27" t="n"/>
      <c r="Q122" s="27" t="n"/>
      <c r="R122" s="27" t="n"/>
      <c r="S122" s="27" t="n"/>
      <c r="T122" s="27" t="n"/>
      <c r="U122" s="27" t="n"/>
      <c r="V122" s="28">
        <f>IF(A122="","",IF(COUNTIF($A$5:$A$154,A122)&gt;1,"DUPLICATE","UNIQUE"))</f>
        <v/>
      </c>
      <c r="W122" s="28">
        <f>IF(A122="","",IF(T122="Rejected","REJECTED",IF(AND(B122&lt;&gt;"",C122&lt;&gt;"",D122&lt;&gt;"",E122&lt;&gt;"",F122&lt;&gt;"",G122&lt;&gt;"",H122&lt;&gt;"",I122&lt;&gt;"",J122&lt;&gt;"",M122&lt;&gt;"",O122&lt;&gt;"",T122&lt;&gt;""),"COMPLETE","MISSING FIELDS")))</f>
        <v/>
      </c>
    </row>
    <row r="123" ht="15" customHeight="1" s="15">
      <c r="A123" s="27" t="n"/>
      <c r="B123" s="27" t="n"/>
      <c r="C123" s="27" t="n"/>
      <c r="D123" s="27" t="n"/>
      <c r="E123" s="27" t="n"/>
      <c r="F123" s="27" t="n"/>
      <c r="G123" s="27" t="n"/>
      <c r="H123" s="27" t="n"/>
      <c r="I123" s="27" t="n"/>
      <c r="J123" s="27" t="n"/>
      <c r="K123" s="27" t="n"/>
      <c r="L123" s="27" t="n"/>
      <c r="M123" s="27" t="n"/>
      <c r="N123" s="27" t="n"/>
      <c r="O123" s="27" t="n"/>
      <c r="P123" s="27" t="n"/>
      <c r="Q123" s="27" t="n"/>
      <c r="R123" s="27" t="n"/>
      <c r="S123" s="27" t="n"/>
      <c r="T123" s="27" t="n"/>
      <c r="U123" s="27" t="n"/>
      <c r="V123" s="28">
        <f>IF(A123="","",IF(COUNTIF($A$5:$A$154,A123)&gt;1,"DUPLICATE","UNIQUE"))</f>
        <v/>
      </c>
      <c r="W123" s="28">
        <f>IF(A123="","",IF(T123="Rejected","REJECTED",IF(AND(B123&lt;&gt;"",C123&lt;&gt;"",D123&lt;&gt;"",E123&lt;&gt;"",F123&lt;&gt;"",G123&lt;&gt;"",H123&lt;&gt;"",I123&lt;&gt;"",J123&lt;&gt;"",M123&lt;&gt;"",O123&lt;&gt;"",T123&lt;&gt;""),"COMPLETE","MISSING FIELDS")))</f>
        <v/>
      </c>
    </row>
    <row r="124" ht="15" customHeight="1" s="15">
      <c r="A124" s="27" t="n"/>
      <c r="B124" s="27" t="n"/>
      <c r="C124" s="27" t="n"/>
      <c r="D124" s="27" t="n"/>
      <c r="E124" s="27" t="n"/>
      <c r="F124" s="27" t="n"/>
      <c r="G124" s="27" t="n"/>
      <c r="H124" s="27" t="n"/>
      <c r="I124" s="27" t="n"/>
      <c r="J124" s="27" t="n"/>
      <c r="K124" s="27" t="n"/>
      <c r="L124" s="27" t="n"/>
      <c r="M124" s="27" t="n"/>
      <c r="N124" s="27" t="n"/>
      <c r="O124" s="27" t="n"/>
      <c r="P124" s="27" t="n"/>
      <c r="Q124" s="27" t="n"/>
      <c r="R124" s="27" t="n"/>
      <c r="S124" s="27" t="n"/>
      <c r="T124" s="27" t="n"/>
      <c r="U124" s="27" t="n"/>
      <c r="V124" s="28">
        <f>IF(A124="","",IF(COUNTIF($A$5:$A$154,A124)&gt;1,"DUPLICATE","UNIQUE"))</f>
        <v/>
      </c>
      <c r="W124" s="28">
        <f>IF(A124="","",IF(T124="Rejected","REJECTED",IF(AND(B124&lt;&gt;"",C124&lt;&gt;"",D124&lt;&gt;"",E124&lt;&gt;"",F124&lt;&gt;"",G124&lt;&gt;"",H124&lt;&gt;"",I124&lt;&gt;"",J124&lt;&gt;"",M124&lt;&gt;"",O124&lt;&gt;"",T124&lt;&gt;""),"COMPLETE","MISSING FIELDS")))</f>
        <v/>
      </c>
    </row>
    <row r="125" ht="15" customHeight="1" s="15">
      <c r="A125" s="27" t="n"/>
      <c r="B125" s="27" t="n"/>
      <c r="C125" s="27" t="n"/>
      <c r="D125" s="27" t="n"/>
      <c r="E125" s="27" t="n"/>
      <c r="F125" s="27" t="n"/>
      <c r="G125" s="27" t="n"/>
      <c r="H125" s="27" t="n"/>
      <c r="I125" s="27" t="n"/>
      <c r="J125" s="27" t="n"/>
      <c r="K125" s="27" t="n"/>
      <c r="L125" s="27" t="n"/>
      <c r="M125" s="27" t="n"/>
      <c r="N125" s="27" t="n"/>
      <c r="O125" s="27" t="n"/>
      <c r="P125" s="27" t="n"/>
      <c r="Q125" s="27" t="n"/>
      <c r="R125" s="27" t="n"/>
      <c r="S125" s="27" t="n"/>
      <c r="T125" s="27" t="n"/>
      <c r="U125" s="27" t="n"/>
      <c r="V125" s="28">
        <f>IF(A125="","",IF(COUNTIF($A$5:$A$154,A125)&gt;1,"DUPLICATE","UNIQUE"))</f>
        <v/>
      </c>
      <c r="W125" s="28">
        <f>IF(A125="","",IF(T125="Rejected","REJECTED",IF(AND(B125&lt;&gt;"",C125&lt;&gt;"",D125&lt;&gt;"",E125&lt;&gt;"",F125&lt;&gt;"",G125&lt;&gt;"",H125&lt;&gt;"",I125&lt;&gt;"",J125&lt;&gt;"",M125&lt;&gt;"",O125&lt;&gt;"",T125&lt;&gt;""),"COMPLETE","MISSING FIELDS")))</f>
        <v/>
      </c>
    </row>
    <row r="126" ht="15" customHeight="1" s="15">
      <c r="A126" s="27" t="n"/>
      <c r="B126" s="27" t="n"/>
      <c r="C126" s="27" t="n"/>
      <c r="D126" s="27" t="n"/>
      <c r="E126" s="27" t="n"/>
      <c r="F126" s="27" t="n"/>
      <c r="G126" s="27" t="n"/>
      <c r="H126" s="27" t="n"/>
      <c r="I126" s="27" t="n"/>
      <c r="J126" s="27" t="n"/>
      <c r="K126" s="27" t="n"/>
      <c r="L126" s="27" t="n"/>
      <c r="M126" s="27" t="n"/>
      <c r="N126" s="27" t="n"/>
      <c r="O126" s="27" t="n"/>
      <c r="P126" s="27" t="n"/>
      <c r="Q126" s="27" t="n"/>
      <c r="R126" s="27" t="n"/>
      <c r="S126" s="27" t="n"/>
      <c r="T126" s="27" t="n"/>
      <c r="U126" s="27" t="n"/>
      <c r="V126" s="28">
        <f>IF(A126="","",IF(COUNTIF($A$5:$A$154,A126)&gt;1,"DUPLICATE","UNIQUE"))</f>
        <v/>
      </c>
      <c r="W126" s="28">
        <f>IF(A126="","",IF(T126="Rejected","REJECTED",IF(AND(B126&lt;&gt;"",C126&lt;&gt;"",D126&lt;&gt;"",E126&lt;&gt;"",F126&lt;&gt;"",G126&lt;&gt;"",H126&lt;&gt;"",I126&lt;&gt;"",J126&lt;&gt;"",M126&lt;&gt;"",O126&lt;&gt;"",T126&lt;&gt;""),"COMPLETE","MISSING FIELDS")))</f>
        <v/>
      </c>
    </row>
    <row r="127" ht="15" customHeight="1" s="15">
      <c r="A127" s="27" t="n"/>
      <c r="B127" s="27" t="n"/>
      <c r="C127" s="27" t="n"/>
      <c r="D127" s="27" t="n"/>
      <c r="E127" s="27" t="n"/>
      <c r="F127" s="27" t="n"/>
      <c r="G127" s="27" t="n"/>
      <c r="H127" s="27" t="n"/>
      <c r="I127" s="27" t="n"/>
      <c r="J127" s="27" t="n"/>
      <c r="K127" s="27" t="n"/>
      <c r="L127" s="27" t="n"/>
      <c r="M127" s="27" t="n"/>
      <c r="N127" s="27" t="n"/>
      <c r="O127" s="27" t="n"/>
      <c r="P127" s="27" t="n"/>
      <c r="Q127" s="27" t="n"/>
      <c r="R127" s="27" t="n"/>
      <c r="S127" s="27" t="n"/>
      <c r="T127" s="27" t="n"/>
      <c r="U127" s="27" t="n"/>
      <c r="V127" s="28">
        <f>IF(A127="","",IF(COUNTIF($A$5:$A$154,A127)&gt;1,"DUPLICATE","UNIQUE"))</f>
        <v/>
      </c>
      <c r="W127" s="28">
        <f>IF(A127="","",IF(T127="Rejected","REJECTED",IF(AND(B127&lt;&gt;"",C127&lt;&gt;"",D127&lt;&gt;"",E127&lt;&gt;"",F127&lt;&gt;"",G127&lt;&gt;"",H127&lt;&gt;"",I127&lt;&gt;"",J127&lt;&gt;"",M127&lt;&gt;"",O127&lt;&gt;"",T127&lt;&gt;""),"COMPLETE","MISSING FIELDS")))</f>
        <v/>
      </c>
    </row>
    <row r="128" ht="15" customHeight="1" s="15">
      <c r="A128" s="27" t="n"/>
      <c r="B128" s="27" t="n"/>
      <c r="C128" s="27" t="n"/>
      <c r="D128" s="27" t="n"/>
      <c r="E128" s="27" t="n"/>
      <c r="F128" s="27" t="n"/>
      <c r="G128" s="27" t="n"/>
      <c r="H128" s="27" t="n"/>
      <c r="I128" s="27" t="n"/>
      <c r="J128" s="27" t="n"/>
      <c r="K128" s="27" t="n"/>
      <c r="L128" s="27" t="n"/>
      <c r="M128" s="27" t="n"/>
      <c r="N128" s="27" t="n"/>
      <c r="O128" s="27" t="n"/>
      <c r="P128" s="27" t="n"/>
      <c r="Q128" s="27" t="n"/>
      <c r="R128" s="27" t="n"/>
      <c r="S128" s="27" t="n"/>
      <c r="T128" s="27" t="n"/>
      <c r="U128" s="27" t="n"/>
      <c r="V128" s="28">
        <f>IF(A128="","",IF(COUNTIF($A$5:$A$154,A128)&gt;1,"DUPLICATE","UNIQUE"))</f>
        <v/>
      </c>
      <c r="W128" s="28">
        <f>IF(A128="","",IF(T128="Rejected","REJECTED",IF(AND(B128&lt;&gt;"",C128&lt;&gt;"",D128&lt;&gt;"",E128&lt;&gt;"",F128&lt;&gt;"",G128&lt;&gt;"",H128&lt;&gt;"",I128&lt;&gt;"",J128&lt;&gt;"",M128&lt;&gt;"",O128&lt;&gt;"",T128&lt;&gt;""),"COMPLETE","MISSING FIELDS")))</f>
        <v/>
      </c>
    </row>
    <row r="129" ht="15" customHeight="1" s="15">
      <c r="A129" s="27" t="n"/>
      <c r="B129" s="27" t="n"/>
      <c r="C129" s="27" t="n"/>
      <c r="D129" s="27" t="n"/>
      <c r="E129" s="27" t="n"/>
      <c r="F129" s="27" t="n"/>
      <c r="G129" s="27" t="n"/>
      <c r="H129" s="27" t="n"/>
      <c r="I129" s="27" t="n"/>
      <c r="J129" s="27" t="n"/>
      <c r="K129" s="27" t="n"/>
      <c r="L129" s="27" t="n"/>
      <c r="M129" s="27" t="n"/>
      <c r="N129" s="27" t="n"/>
      <c r="O129" s="27" t="n"/>
      <c r="P129" s="27" t="n"/>
      <c r="Q129" s="27" t="n"/>
      <c r="R129" s="27" t="n"/>
      <c r="S129" s="27" t="n"/>
      <c r="T129" s="27" t="n"/>
      <c r="U129" s="27" t="n"/>
      <c r="V129" s="28">
        <f>IF(A129="","",IF(COUNTIF($A$5:$A$154,A129)&gt;1,"DUPLICATE","UNIQUE"))</f>
        <v/>
      </c>
      <c r="W129" s="28">
        <f>IF(A129="","",IF(T129="Rejected","REJECTED",IF(AND(B129&lt;&gt;"",C129&lt;&gt;"",D129&lt;&gt;"",E129&lt;&gt;"",F129&lt;&gt;"",G129&lt;&gt;"",H129&lt;&gt;"",I129&lt;&gt;"",J129&lt;&gt;"",M129&lt;&gt;"",O129&lt;&gt;"",T129&lt;&gt;""),"COMPLETE","MISSING FIELDS")))</f>
        <v/>
      </c>
    </row>
    <row r="130" ht="15" customHeight="1" s="15">
      <c r="A130" s="27" t="n"/>
      <c r="B130" s="27" t="n"/>
      <c r="C130" s="27" t="n"/>
      <c r="D130" s="27" t="n"/>
      <c r="E130" s="27" t="n"/>
      <c r="F130" s="27" t="n"/>
      <c r="G130" s="27" t="n"/>
      <c r="H130" s="27" t="n"/>
      <c r="I130" s="27" t="n"/>
      <c r="J130" s="27" t="n"/>
      <c r="K130" s="27" t="n"/>
      <c r="L130" s="27" t="n"/>
      <c r="M130" s="27" t="n"/>
      <c r="N130" s="27" t="n"/>
      <c r="O130" s="27" t="n"/>
      <c r="P130" s="27" t="n"/>
      <c r="Q130" s="27" t="n"/>
      <c r="R130" s="27" t="n"/>
      <c r="S130" s="27" t="n"/>
      <c r="T130" s="27" t="n"/>
      <c r="U130" s="27" t="n"/>
      <c r="V130" s="28">
        <f>IF(A130="","",IF(COUNTIF($A$5:$A$154,A130)&gt;1,"DUPLICATE","UNIQUE"))</f>
        <v/>
      </c>
      <c r="W130" s="28">
        <f>IF(A130="","",IF(T130="Rejected","REJECTED",IF(AND(B130&lt;&gt;"",C130&lt;&gt;"",D130&lt;&gt;"",E130&lt;&gt;"",F130&lt;&gt;"",G130&lt;&gt;"",H130&lt;&gt;"",I130&lt;&gt;"",J130&lt;&gt;"",M130&lt;&gt;"",O130&lt;&gt;"",T130&lt;&gt;""),"COMPLETE","MISSING FIELDS")))</f>
        <v/>
      </c>
    </row>
    <row r="131" ht="15" customHeight="1" s="15">
      <c r="A131" s="27" t="n"/>
      <c r="B131" s="27" t="n"/>
      <c r="C131" s="27" t="n"/>
      <c r="D131" s="27" t="n"/>
      <c r="E131" s="27" t="n"/>
      <c r="F131" s="27" t="n"/>
      <c r="G131" s="27" t="n"/>
      <c r="H131" s="27" t="n"/>
      <c r="I131" s="27" t="n"/>
      <c r="J131" s="27" t="n"/>
      <c r="K131" s="27" t="n"/>
      <c r="L131" s="27" t="n"/>
      <c r="M131" s="27" t="n"/>
      <c r="N131" s="27" t="n"/>
      <c r="O131" s="27" t="n"/>
      <c r="P131" s="27" t="n"/>
      <c r="Q131" s="27" t="n"/>
      <c r="R131" s="27" t="n"/>
      <c r="S131" s="27" t="n"/>
      <c r="T131" s="27" t="n"/>
      <c r="U131" s="27" t="n"/>
      <c r="V131" s="28">
        <f>IF(A131="","",IF(COUNTIF($A$5:$A$154,A131)&gt;1,"DUPLICATE","UNIQUE"))</f>
        <v/>
      </c>
      <c r="W131" s="28">
        <f>IF(A131="","",IF(T131="Rejected","REJECTED",IF(AND(B131&lt;&gt;"",C131&lt;&gt;"",D131&lt;&gt;"",E131&lt;&gt;"",F131&lt;&gt;"",G131&lt;&gt;"",H131&lt;&gt;"",I131&lt;&gt;"",J131&lt;&gt;"",M131&lt;&gt;"",O131&lt;&gt;"",T131&lt;&gt;""),"COMPLETE","MISSING FIELDS")))</f>
        <v/>
      </c>
    </row>
    <row r="132" ht="15" customHeight="1" s="15">
      <c r="A132" s="27" t="n"/>
      <c r="B132" s="27" t="n"/>
      <c r="C132" s="27" t="n"/>
      <c r="D132" s="27" t="n"/>
      <c r="E132" s="27" t="n"/>
      <c r="F132" s="27" t="n"/>
      <c r="G132" s="27" t="n"/>
      <c r="H132" s="27" t="n"/>
      <c r="I132" s="27" t="n"/>
      <c r="J132" s="27" t="n"/>
      <c r="K132" s="27" t="n"/>
      <c r="L132" s="27" t="n"/>
      <c r="M132" s="27" t="n"/>
      <c r="N132" s="27" t="n"/>
      <c r="O132" s="27" t="n"/>
      <c r="P132" s="27" t="n"/>
      <c r="Q132" s="27" t="n"/>
      <c r="R132" s="27" t="n"/>
      <c r="S132" s="27" t="n"/>
      <c r="T132" s="27" t="n"/>
      <c r="U132" s="27" t="n"/>
      <c r="V132" s="28">
        <f>IF(A132="","",IF(COUNTIF($A$5:$A$154,A132)&gt;1,"DUPLICATE","UNIQUE"))</f>
        <v/>
      </c>
      <c r="W132" s="28">
        <f>IF(A132="","",IF(T132="Rejected","REJECTED",IF(AND(B132&lt;&gt;"",C132&lt;&gt;"",D132&lt;&gt;"",E132&lt;&gt;"",F132&lt;&gt;"",G132&lt;&gt;"",H132&lt;&gt;"",I132&lt;&gt;"",J132&lt;&gt;"",M132&lt;&gt;"",O132&lt;&gt;"",T132&lt;&gt;""),"COMPLETE","MISSING FIELDS")))</f>
        <v/>
      </c>
    </row>
    <row r="133" ht="15" customHeight="1" s="15">
      <c r="A133" s="27" t="n"/>
      <c r="B133" s="27" t="n"/>
      <c r="C133" s="27" t="n"/>
      <c r="D133" s="27" t="n"/>
      <c r="E133" s="27" t="n"/>
      <c r="F133" s="27" t="n"/>
      <c r="G133" s="27" t="n"/>
      <c r="H133" s="27" t="n"/>
      <c r="I133" s="27" t="n"/>
      <c r="J133" s="27" t="n"/>
      <c r="K133" s="27" t="n"/>
      <c r="L133" s="27" t="n"/>
      <c r="M133" s="27" t="n"/>
      <c r="N133" s="27" t="n"/>
      <c r="O133" s="27" t="n"/>
      <c r="P133" s="27" t="n"/>
      <c r="Q133" s="27" t="n"/>
      <c r="R133" s="27" t="n"/>
      <c r="S133" s="27" t="n"/>
      <c r="T133" s="27" t="n"/>
      <c r="U133" s="27" t="n"/>
      <c r="V133" s="28">
        <f>IF(A133="","",IF(COUNTIF($A$5:$A$154,A133)&gt;1,"DUPLICATE","UNIQUE"))</f>
        <v/>
      </c>
      <c r="W133" s="28">
        <f>IF(A133="","",IF(T133="Rejected","REJECTED",IF(AND(B133&lt;&gt;"",C133&lt;&gt;"",D133&lt;&gt;"",E133&lt;&gt;"",F133&lt;&gt;"",G133&lt;&gt;"",H133&lt;&gt;"",I133&lt;&gt;"",J133&lt;&gt;"",M133&lt;&gt;"",O133&lt;&gt;"",T133&lt;&gt;""),"COMPLETE","MISSING FIELDS")))</f>
        <v/>
      </c>
    </row>
    <row r="134" ht="15" customHeight="1" s="15">
      <c r="A134" s="27" t="n"/>
      <c r="B134" s="27" t="n"/>
      <c r="C134" s="27" t="n"/>
      <c r="D134" s="27" t="n"/>
      <c r="E134" s="27" t="n"/>
      <c r="F134" s="27" t="n"/>
      <c r="G134" s="27" t="n"/>
      <c r="H134" s="27" t="n"/>
      <c r="I134" s="27" t="n"/>
      <c r="J134" s="27" t="n"/>
      <c r="K134" s="27" t="n"/>
      <c r="L134" s="27" t="n"/>
      <c r="M134" s="27" t="n"/>
      <c r="N134" s="27" t="n"/>
      <c r="O134" s="27" t="n"/>
      <c r="P134" s="27" t="n"/>
      <c r="Q134" s="27" t="n"/>
      <c r="R134" s="27" t="n"/>
      <c r="S134" s="27" t="n"/>
      <c r="T134" s="27" t="n"/>
      <c r="U134" s="27" t="n"/>
      <c r="V134" s="28">
        <f>IF(A134="","",IF(COUNTIF($A$5:$A$154,A134)&gt;1,"DUPLICATE","UNIQUE"))</f>
        <v/>
      </c>
      <c r="W134" s="28">
        <f>IF(A134="","",IF(T134="Rejected","REJECTED",IF(AND(B134&lt;&gt;"",C134&lt;&gt;"",D134&lt;&gt;"",E134&lt;&gt;"",F134&lt;&gt;"",G134&lt;&gt;"",H134&lt;&gt;"",I134&lt;&gt;"",J134&lt;&gt;"",M134&lt;&gt;"",O134&lt;&gt;"",T134&lt;&gt;""),"COMPLETE","MISSING FIELDS")))</f>
        <v/>
      </c>
    </row>
    <row r="135" ht="15" customHeight="1" s="15">
      <c r="A135" s="27" t="n"/>
      <c r="B135" s="27" t="n"/>
      <c r="C135" s="27" t="n"/>
      <c r="D135" s="27" t="n"/>
      <c r="E135" s="27" t="n"/>
      <c r="F135" s="27" t="n"/>
      <c r="G135" s="27" t="n"/>
      <c r="H135" s="27" t="n"/>
      <c r="I135" s="27" t="n"/>
      <c r="J135" s="27" t="n"/>
      <c r="K135" s="27" t="n"/>
      <c r="L135" s="27" t="n"/>
      <c r="M135" s="27" t="n"/>
      <c r="N135" s="27" t="n"/>
      <c r="O135" s="27" t="n"/>
      <c r="P135" s="27" t="n"/>
      <c r="Q135" s="27" t="n"/>
      <c r="R135" s="27" t="n"/>
      <c r="S135" s="27" t="n"/>
      <c r="T135" s="27" t="n"/>
      <c r="U135" s="27" t="n"/>
      <c r="V135" s="28">
        <f>IF(A135="","",IF(COUNTIF($A$5:$A$154,A135)&gt;1,"DUPLICATE","UNIQUE"))</f>
        <v/>
      </c>
      <c r="W135" s="28">
        <f>IF(A135="","",IF(T135="Rejected","REJECTED",IF(AND(B135&lt;&gt;"",C135&lt;&gt;"",D135&lt;&gt;"",E135&lt;&gt;"",F135&lt;&gt;"",G135&lt;&gt;"",H135&lt;&gt;"",I135&lt;&gt;"",J135&lt;&gt;"",M135&lt;&gt;"",O135&lt;&gt;"",T135&lt;&gt;""),"COMPLETE","MISSING FIELDS")))</f>
        <v/>
      </c>
    </row>
    <row r="136" ht="15" customHeight="1" s="15">
      <c r="A136" s="27" t="n"/>
      <c r="B136" s="27" t="n"/>
      <c r="C136" s="27" t="n"/>
      <c r="D136" s="27" t="n"/>
      <c r="E136" s="27" t="n"/>
      <c r="F136" s="27" t="n"/>
      <c r="G136" s="27" t="n"/>
      <c r="H136" s="27" t="n"/>
      <c r="I136" s="27" t="n"/>
      <c r="J136" s="27" t="n"/>
      <c r="K136" s="27" t="n"/>
      <c r="L136" s="27" t="n"/>
      <c r="M136" s="27" t="n"/>
      <c r="N136" s="27" t="n"/>
      <c r="O136" s="27" t="n"/>
      <c r="P136" s="27" t="n"/>
      <c r="Q136" s="27" t="n"/>
      <c r="R136" s="27" t="n"/>
      <c r="S136" s="27" t="n"/>
      <c r="T136" s="27" t="n"/>
      <c r="U136" s="27" t="n"/>
      <c r="V136" s="28">
        <f>IF(A136="","",IF(COUNTIF($A$5:$A$154,A136)&gt;1,"DUPLICATE","UNIQUE"))</f>
        <v/>
      </c>
      <c r="W136" s="28">
        <f>IF(A136="","",IF(T136="Rejected","REJECTED",IF(AND(B136&lt;&gt;"",C136&lt;&gt;"",D136&lt;&gt;"",E136&lt;&gt;"",F136&lt;&gt;"",G136&lt;&gt;"",H136&lt;&gt;"",I136&lt;&gt;"",J136&lt;&gt;"",M136&lt;&gt;"",O136&lt;&gt;"",T136&lt;&gt;""),"COMPLETE","MISSING FIELDS")))</f>
        <v/>
      </c>
    </row>
    <row r="137" ht="15" customHeight="1" s="15">
      <c r="A137" s="27" t="n"/>
      <c r="B137" s="27" t="n"/>
      <c r="C137" s="27" t="n"/>
      <c r="D137" s="27" t="n"/>
      <c r="E137" s="27" t="n"/>
      <c r="F137" s="27" t="n"/>
      <c r="G137" s="27" t="n"/>
      <c r="H137" s="27" t="n"/>
      <c r="I137" s="27" t="n"/>
      <c r="J137" s="27" t="n"/>
      <c r="K137" s="27" t="n"/>
      <c r="L137" s="27" t="n"/>
      <c r="M137" s="27" t="n"/>
      <c r="N137" s="27" t="n"/>
      <c r="O137" s="27" t="n"/>
      <c r="P137" s="27" t="n"/>
      <c r="Q137" s="27" t="n"/>
      <c r="R137" s="27" t="n"/>
      <c r="S137" s="27" t="n"/>
      <c r="T137" s="27" t="n"/>
      <c r="U137" s="27" t="n"/>
      <c r="V137" s="28">
        <f>IF(A137="","",IF(COUNTIF($A$5:$A$154,A137)&gt;1,"DUPLICATE","UNIQUE"))</f>
        <v/>
      </c>
      <c r="W137" s="28">
        <f>IF(A137="","",IF(T137="Rejected","REJECTED",IF(AND(B137&lt;&gt;"",C137&lt;&gt;"",D137&lt;&gt;"",E137&lt;&gt;"",F137&lt;&gt;"",G137&lt;&gt;"",H137&lt;&gt;"",I137&lt;&gt;"",J137&lt;&gt;"",M137&lt;&gt;"",O137&lt;&gt;"",T137&lt;&gt;""),"COMPLETE","MISSING FIELDS")))</f>
        <v/>
      </c>
    </row>
    <row r="138" ht="15" customHeight="1" s="15">
      <c r="A138" s="27" t="n"/>
      <c r="B138" s="27" t="n"/>
      <c r="C138" s="27" t="n"/>
      <c r="D138" s="27" t="n"/>
      <c r="E138" s="27" t="n"/>
      <c r="F138" s="27" t="n"/>
      <c r="G138" s="27" t="n"/>
      <c r="H138" s="27" t="n"/>
      <c r="I138" s="27" t="n"/>
      <c r="J138" s="27" t="n"/>
      <c r="K138" s="27" t="n"/>
      <c r="L138" s="27" t="n"/>
      <c r="M138" s="27" t="n"/>
      <c r="N138" s="27" t="n"/>
      <c r="O138" s="27" t="n"/>
      <c r="P138" s="27" t="n"/>
      <c r="Q138" s="27" t="n"/>
      <c r="R138" s="27" t="n"/>
      <c r="S138" s="27" t="n"/>
      <c r="T138" s="27" t="n"/>
      <c r="U138" s="27" t="n"/>
      <c r="V138" s="28">
        <f>IF(A138="","",IF(COUNTIF($A$5:$A$154,A138)&gt;1,"DUPLICATE","UNIQUE"))</f>
        <v/>
      </c>
      <c r="W138" s="28">
        <f>IF(A138="","",IF(T138="Rejected","REJECTED",IF(AND(B138&lt;&gt;"",C138&lt;&gt;"",D138&lt;&gt;"",E138&lt;&gt;"",F138&lt;&gt;"",G138&lt;&gt;"",H138&lt;&gt;"",I138&lt;&gt;"",J138&lt;&gt;"",M138&lt;&gt;"",O138&lt;&gt;"",T138&lt;&gt;""),"COMPLETE","MISSING FIELDS")))</f>
        <v/>
      </c>
    </row>
    <row r="139" ht="15" customHeight="1" s="15">
      <c r="A139" s="27" t="n"/>
      <c r="B139" s="27" t="n"/>
      <c r="C139" s="27" t="n"/>
      <c r="D139" s="27" t="n"/>
      <c r="E139" s="27" t="n"/>
      <c r="F139" s="27" t="n"/>
      <c r="G139" s="27" t="n"/>
      <c r="H139" s="27" t="n"/>
      <c r="I139" s="27" t="n"/>
      <c r="J139" s="27" t="n"/>
      <c r="K139" s="27" t="n"/>
      <c r="L139" s="27" t="n"/>
      <c r="M139" s="27" t="n"/>
      <c r="N139" s="27" t="n"/>
      <c r="O139" s="27" t="n"/>
      <c r="P139" s="27" t="n"/>
      <c r="Q139" s="27" t="n"/>
      <c r="R139" s="27" t="n"/>
      <c r="S139" s="27" t="n"/>
      <c r="T139" s="27" t="n"/>
      <c r="U139" s="27" t="n"/>
      <c r="V139" s="28">
        <f>IF(A139="","",IF(COUNTIF($A$5:$A$154,A139)&gt;1,"DUPLICATE","UNIQUE"))</f>
        <v/>
      </c>
      <c r="W139" s="28">
        <f>IF(A139="","",IF(T139="Rejected","REJECTED",IF(AND(B139&lt;&gt;"",C139&lt;&gt;"",D139&lt;&gt;"",E139&lt;&gt;"",F139&lt;&gt;"",G139&lt;&gt;"",H139&lt;&gt;"",I139&lt;&gt;"",J139&lt;&gt;"",M139&lt;&gt;"",O139&lt;&gt;"",T139&lt;&gt;""),"COMPLETE","MISSING FIELDS")))</f>
        <v/>
      </c>
    </row>
    <row r="140" ht="15" customHeight="1" s="15">
      <c r="A140" s="27" t="n"/>
      <c r="B140" s="27" t="n"/>
      <c r="C140" s="27" t="n"/>
      <c r="D140" s="27" t="n"/>
      <c r="E140" s="27" t="n"/>
      <c r="F140" s="27" t="n"/>
      <c r="G140" s="27" t="n"/>
      <c r="H140" s="27" t="n"/>
      <c r="I140" s="27" t="n"/>
      <c r="J140" s="27" t="n"/>
      <c r="K140" s="27" t="n"/>
      <c r="L140" s="27" t="n"/>
      <c r="M140" s="27" t="n"/>
      <c r="N140" s="27" t="n"/>
      <c r="O140" s="27" t="n"/>
      <c r="P140" s="27" t="n"/>
      <c r="Q140" s="27" t="n"/>
      <c r="R140" s="27" t="n"/>
      <c r="S140" s="27" t="n"/>
      <c r="T140" s="27" t="n"/>
      <c r="U140" s="27" t="n"/>
      <c r="V140" s="28">
        <f>IF(A140="","",IF(COUNTIF($A$5:$A$154,A140)&gt;1,"DUPLICATE","UNIQUE"))</f>
        <v/>
      </c>
      <c r="W140" s="28">
        <f>IF(A140="","",IF(T140="Rejected","REJECTED",IF(AND(B140&lt;&gt;"",C140&lt;&gt;"",D140&lt;&gt;"",E140&lt;&gt;"",F140&lt;&gt;"",G140&lt;&gt;"",H140&lt;&gt;"",I140&lt;&gt;"",J140&lt;&gt;"",M140&lt;&gt;"",O140&lt;&gt;"",T140&lt;&gt;""),"COMPLETE","MISSING FIELDS")))</f>
        <v/>
      </c>
    </row>
    <row r="141" ht="15" customHeight="1" s="15">
      <c r="A141" s="27" t="n"/>
      <c r="B141" s="27" t="n"/>
      <c r="C141" s="27" t="n"/>
      <c r="D141" s="27" t="n"/>
      <c r="E141" s="27" t="n"/>
      <c r="F141" s="27" t="n"/>
      <c r="G141" s="27" t="n"/>
      <c r="H141" s="27" t="n"/>
      <c r="I141" s="27" t="n"/>
      <c r="J141" s="27" t="n"/>
      <c r="K141" s="27" t="n"/>
      <c r="L141" s="27" t="n"/>
      <c r="M141" s="27" t="n"/>
      <c r="N141" s="27" t="n"/>
      <c r="O141" s="27" t="n"/>
      <c r="P141" s="27" t="n"/>
      <c r="Q141" s="27" t="n"/>
      <c r="R141" s="27" t="n"/>
      <c r="S141" s="27" t="n"/>
      <c r="T141" s="27" t="n"/>
      <c r="U141" s="27" t="n"/>
      <c r="V141" s="28">
        <f>IF(A141="","",IF(COUNTIF($A$5:$A$154,A141)&gt;1,"DUPLICATE","UNIQUE"))</f>
        <v/>
      </c>
      <c r="W141" s="28">
        <f>IF(A141="","",IF(T141="Rejected","REJECTED",IF(AND(B141&lt;&gt;"",C141&lt;&gt;"",D141&lt;&gt;"",E141&lt;&gt;"",F141&lt;&gt;"",G141&lt;&gt;"",H141&lt;&gt;"",I141&lt;&gt;"",J141&lt;&gt;"",M141&lt;&gt;"",O141&lt;&gt;"",T141&lt;&gt;""),"COMPLETE","MISSING FIELDS")))</f>
        <v/>
      </c>
    </row>
    <row r="142" ht="15" customHeight="1" s="15">
      <c r="A142" s="27" t="n"/>
      <c r="B142" s="27" t="n"/>
      <c r="C142" s="27" t="n"/>
      <c r="D142" s="27" t="n"/>
      <c r="E142" s="27" t="n"/>
      <c r="F142" s="27" t="n"/>
      <c r="G142" s="27" t="n"/>
      <c r="H142" s="27" t="n"/>
      <c r="I142" s="27" t="n"/>
      <c r="J142" s="27" t="n"/>
      <c r="K142" s="27" t="n"/>
      <c r="L142" s="27" t="n"/>
      <c r="M142" s="27" t="n"/>
      <c r="N142" s="27" t="n"/>
      <c r="O142" s="27" t="n"/>
      <c r="P142" s="27" t="n"/>
      <c r="Q142" s="27" t="n"/>
      <c r="R142" s="27" t="n"/>
      <c r="S142" s="27" t="n"/>
      <c r="T142" s="27" t="n"/>
      <c r="U142" s="27" t="n"/>
      <c r="V142" s="28">
        <f>IF(A142="","",IF(COUNTIF($A$5:$A$154,A142)&gt;1,"DUPLICATE","UNIQUE"))</f>
        <v/>
      </c>
      <c r="W142" s="28">
        <f>IF(A142="","",IF(T142="Rejected","REJECTED",IF(AND(B142&lt;&gt;"",C142&lt;&gt;"",D142&lt;&gt;"",E142&lt;&gt;"",F142&lt;&gt;"",G142&lt;&gt;"",H142&lt;&gt;"",I142&lt;&gt;"",J142&lt;&gt;"",M142&lt;&gt;"",O142&lt;&gt;"",T142&lt;&gt;""),"COMPLETE","MISSING FIELDS")))</f>
        <v/>
      </c>
    </row>
    <row r="143" ht="15" customHeight="1" s="15">
      <c r="A143" s="27" t="n"/>
      <c r="B143" s="27" t="n"/>
      <c r="C143" s="27" t="n"/>
      <c r="D143" s="27" t="n"/>
      <c r="E143" s="27" t="n"/>
      <c r="F143" s="27" t="n"/>
      <c r="G143" s="27" t="n"/>
      <c r="H143" s="27" t="n"/>
      <c r="I143" s="27" t="n"/>
      <c r="J143" s="27" t="n"/>
      <c r="K143" s="27" t="n"/>
      <c r="L143" s="27" t="n"/>
      <c r="M143" s="27" t="n"/>
      <c r="N143" s="27" t="n"/>
      <c r="O143" s="27" t="n"/>
      <c r="P143" s="27" t="n"/>
      <c r="Q143" s="27" t="n"/>
      <c r="R143" s="27" t="n"/>
      <c r="S143" s="27" t="n"/>
      <c r="T143" s="27" t="n"/>
      <c r="U143" s="27" t="n"/>
      <c r="V143" s="28">
        <f>IF(A143="","",IF(COUNTIF($A$5:$A$154,A143)&gt;1,"DUPLICATE","UNIQUE"))</f>
        <v/>
      </c>
      <c r="W143" s="28">
        <f>IF(A143="","",IF(T143="Rejected","REJECTED",IF(AND(B143&lt;&gt;"",C143&lt;&gt;"",D143&lt;&gt;"",E143&lt;&gt;"",F143&lt;&gt;"",G143&lt;&gt;"",H143&lt;&gt;"",I143&lt;&gt;"",J143&lt;&gt;"",M143&lt;&gt;"",O143&lt;&gt;"",T143&lt;&gt;""),"COMPLETE","MISSING FIELDS")))</f>
        <v/>
      </c>
    </row>
    <row r="144" ht="15" customHeight="1" s="15">
      <c r="A144" s="27" t="n"/>
      <c r="B144" s="27" t="n"/>
      <c r="C144" s="27" t="n"/>
      <c r="D144" s="27" t="n"/>
      <c r="E144" s="27" t="n"/>
      <c r="F144" s="27" t="n"/>
      <c r="G144" s="27" t="n"/>
      <c r="H144" s="27" t="n"/>
      <c r="I144" s="27" t="n"/>
      <c r="J144" s="27" t="n"/>
      <c r="K144" s="27" t="n"/>
      <c r="L144" s="27" t="n"/>
      <c r="M144" s="27" t="n"/>
      <c r="N144" s="27" t="n"/>
      <c r="O144" s="27" t="n"/>
      <c r="P144" s="27" t="n"/>
      <c r="Q144" s="27" t="n"/>
      <c r="R144" s="27" t="n"/>
      <c r="S144" s="27" t="n"/>
      <c r="T144" s="27" t="n"/>
      <c r="U144" s="27" t="n"/>
      <c r="V144" s="28">
        <f>IF(A144="","",IF(COUNTIF($A$5:$A$154,A144)&gt;1,"DUPLICATE","UNIQUE"))</f>
        <v/>
      </c>
      <c r="W144" s="28">
        <f>IF(A144="","",IF(T144="Rejected","REJECTED",IF(AND(B144&lt;&gt;"",C144&lt;&gt;"",D144&lt;&gt;"",E144&lt;&gt;"",F144&lt;&gt;"",G144&lt;&gt;"",H144&lt;&gt;"",I144&lt;&gt;"",J144&lt;&gt;"",M144&lt;&gt;"",O144&lt;&gt;"",T144&lt;&gt;""),"COMPLETE","MISSING FIELDS")))</f>
        <v/>
      </c>
    </row>
    <row r="145" ht="15" customHeight="1" s="15">
      <c r="A145" s="27" t="n"/>
      <c r="B145" s="27" t="n"/>
      <c r="C145" s="27" t="n"/>
      <c r="D145" s="27" t="n"/>
      <c r="E145" s="27" t="n"/>
      <c r="F145" s="27" t="n"/>
      <c r="G145" s="27" t="n"/>
      <c r="H145" s="27" t="n"/>
      <c r="I145" s="27" t="n"/>
      <c r="J145" s="27" t="n"/>
      <c r="K145" s="27" t="n"/>
      <c r="L145" s="27" t="n"/>
      <c r="M145" s="27" t="n"/>
      <c r="N145" s="27" t="n"/>
      <c r="O145" s="27" t="n"/>
      <c r="P145" s="27" t="n"/>
      <c r="Q145" s="27" t="n"/>
      <c r="R145" s="27" t="n"/>
      <c r="S145" s="27" t="n"/>
      <c r="T145" s="27" t="n"/>
      <c r="U145" s="27" t="n"/>
      <c r="V145" s="28">
        <f>IF(A145="","",IF(COUNTIF($A$5:$A$154,A145)&gt;1,"DUPLICATE","UNIQUE"))</f>
        <v/>
      </c>
      <c r="W145" s="28">
        <f>IF(A145="","",IF(T145="Rejected","REJECTED",IF(AND(B145&lt;&gt;"",C145&lt;&gt;"",D145&lt;&gt;"",E145&lt;&gt;"",F145&lt;&gt;"",G145&lt;&gt;"",H145&lt;&gt;"",I145&lt;&gt;"",J145&lt;&gt;"",M145&lt;&gt;"",O145&lt;&gt;"",T145&lt;&gt;""),"COMPLETE","MISSING FIELDS")))</f>
        <v/>
      </c>
    </row>
    <row r="146" ht="15" customHeight="1" s="15">
      <c r="A146" s="27" t="n"/>
      <c r="B146" s="27" t="n"/>
      <c r="C146" s="27" t="n"/>
      <c r="D146" s="27" t="n"/>
      <c r="E146" s="27" t="n"/>
      <c r="F146" s="27" t="n"/>
      <c r="G146" s="27" t="n"/>
      <c r="H146" s="27" t="n"/>
      <c r="I146" s="27" t="n"/>
      <c r="J146" s="27" t="n"/>
      <c r="K146" s="27" t="n"/>
      <c r="L146" s="27" t="n"/>
      <c r="M146" s="27" t="n"/>
      <c r="N146" s="27" t="n"/>
      <c r="O146" s="27" t="n"/>
      <c r="P146" s="27" t="n"/>
      <c r="Q146" s="27" t="n"/>
      <c r="R146" s="27" t="n"/>
      <c r="S146" s="27" t="n"/>
      <c r="T146" s="27" t="n"/>
      <c r="U146" s="27" t="n"/>
      <c r="V146" s="28">
        <f>IF(A146="","",IF(COUNTIF($A$5:$A$154,A146)&gt;1,"DUPLICATE","UNIQUE"))</f>
        <v/>
      </c>
      <c r="W146" s="28">
        <f>IF(A146="","",IF(T146="Rejected","REJECTED",IF(AND(B146&lt;&gt;"",C146&lt;&gt;"",D146&lt;&gt;"",E146&lt;&gt;"",F146&lt;&gt;"",G146&lt;&gt;"",H146&lt;&gt;"",I146&lt;&gt;"",J146&lt;&gt;"",M146&lt;&gt;"",O146&lt;&gt;"",T146&lt;&gt;""),"COMPLETE","MISSING FIELDS")))</f>
        <v/>
      </c>
    </row>
    <row r="147" ht="15" customHeight="1" s="15">
      <c r="A147" s="27" t="n"/>
      <c r="B147" s="27" t="n"/>
      <c r="C147" s="27" t="n"/>
      <c r="D147" s="27" t="n"/>
      <c r="E147" s="27" t="n"/>
      <c r="F147" s="27" t="n"/>
      <c r="G147" s="27" t="n"/>
      <c r="H147" s="27" t="n"/>
      <c r="I147" s="27" t="n"/>
      <c r="J147" s="27" t="n"/>
      <c r="K147" s="27" t="n"/>
      <c r="L147" s="27" t="n"/>
      <c r="M147" s="27" t="n"/>
      <c r="N147" s="27" t="n"/>
      <c r="O147" s="27" t="n"/>
      <c r="P147" s="27" t="n"/>
      <c r="Q147" s="27" t="n"/>
      <c r="R147" s="27" t="n"/>
      <c r="S147" s="27" t="n"/>
      <c r="T147" s="27" t="n"/>
      <c r="U147" s="27" t="n"/>
      <c r="V147" s="28">
        <f>IF(A147="","",IF(COUNTIF($A$5:$A$154,A147)&gt;1,"DUPLICATE","UNIQUE"))</f>
        <v/>
      </c>
      <c r="W147" s="28">
        <f>IF(A147="","",IF(T147="Rejected","REJECTED",IF(AND(B147&lt;&gt;"",C147&lt;&gt;"",D147&lt;&gt;"",E147&lt;&gt;"",F147&lt;&gt;"",G147&lt;&gt;"",H147&lt;&gt;"",I147&lt;&gt;"",J147&lt;&gt;"",M147&lt;&gt;"",O147&lt;&gt;"",T147&lt;&gt;""),"COMPLETE","MISSING FIELDS")))</f>
        <v/>
      </c>
    </row>
    <row r="148" ht="15" customHeight="1" s="15">
      <c r="A148" s="27" t="n"/>
      <c r="B148" s="27" t="n"/>
      <c r="C148" s="27" t="n"/>
      <c r="D148" s="27" t="n"/>
      <c r="E148" s="27" t="n"/>
      <c r="F148" s="27" t="n"/>
      <c r="G148" s="27" t="n"/>
      <c r="H148" s="27" t="n"/>
      <c r="I148" s="27" t="n"/>
      <c r="J148" s="27" t="n"/>
      <c r="K148" s="27" t="n"/>
      <c r="L148" s="27" t="n"/>
      <c r="M148" s="27" t="n"/>
      <c r="N148" s="27" t="n"/>
      <c r="O148" s="27" t="n"/>
      <c r="P148" s="27" t="n"/>
      <c r="Q148" s="27" t="n"/>
      <c r="R148" s="27" t="n"/>
      <c r="S148" s="27" t="n"/>
      <c r="T148" s="27" t="n"/>
      <c r="U148" s="27" t="n"/>
      <c r="V148" s="28">
        <f>IF(A148="","",IF(COUNTIF($A$5:$A$154,A148)&gt;1,"DUPLICATE","UNIQUE"))</f>
        <v/>
      </c>
      <c r="W148" s="28">
        <f>IF(A148="","",IF(T148="Rejected","REJECTED",IF(AND(B148&lt;&gt;"",C148&lt;&gt;"",D148&lt;&gt;"",E148&lt;&gt;"",F148&lt;&gt;"",G148&lt;&gt;"",H148&lt;&gt;"",I148&lt;&gt;"",J148&lt;&gt;"",M148&lt;&gt;"",O148&lt;&gt;"",T148&lt;&gt;""),"COMPLETE","MISSING FIELDS")))</f>
        <v/>
      </c>
    </row>
    <row r="149" ht="15" customHeight="1" s="15">
      <c r="A149" s="27" t="n"/>
      <c r="B149" s="27" t="n"/>
      <c r="C149" s="27" t="n"/>
      <c r="D149" s="27" t="n"/>
      <c r="E149" s="27" t="n"/>
      <c r="F149" s="27" t="n"/>
      <c r="G149" s="27" t="n"/>
      <c r="H149" s="27" t="n"/>
      <c r="I149" s="27" t="n"/>
      <c r="J149" s="27" t="n"/>
      <c r="K149" s="27" t="n"/>
      <c r="L149" s="27" t="n"/>
      <c r="M149" s="27" t="n"/>
      <c r="N149" s="27" t="n"/>
      <c r="O149" s="27" t="n"/>
      <c r="P149" s="27" t="n"/>
      <c r="Q149" s="27" t="n"/>
      <c r="R149" s="27" t="n"/>
      <c r="S149" s="27" t="n"/>
      <c r="T149" s="27" t="n"/>
      <c r="U149" s="27" t="n"/>
      <c r="V149" s="28">
        <f>IF(A149="","",IF(COUNTIF($A$5:$A$154,A149)&gt;1,"DUPLICATE","UNIQUE"))</f>
        <v/>
      </c>
      <c r="W149" s="28">
        <f>IF(A149="","",IF(T149="Rejected","REJECTED",IF(AND(B149&lt;&gt;"",C149&lt;&gt;"",D149&lt;&gt;"",E149&lt;&gt;"",F149&lt;&gt;"",G149&lt;&gt;"",H149&lt;&gt;"",I149&lt;&gt;"",J149&lt;&gt;"",M149&lt;&gt;"",O149&lt;&gt;"",T149&lt;&gt;""),"COMPLETE","MISSING FIELDS")))</f>
        <v/>
      </c>
    </row>
    <row r="150" ht="15" customHeight="1" s="15">
      <c r="A150" s="27" t="n"/>
      <c r="B150" s="27" t="n"/>
      <c r="C150" s="27" t="n"/>
      <c r="D150" s="27" t="n"/>
      <c r="E150" s="27" t="n"/>
      <c r="F150" s="27" t="n"/>
      <c r="G150" s="27" t="n"/>
      <c r="H150" s="27" t="n"/>
      <c r="I150" s="27" t="n"/>
      <c r="J150" s="27" t="n"/>
      <c r="K150" s="27" t="n"/>
      <c r="L150" s="27" t="n"/>
      <c r="M150" s="27" t="n"/>
      <c r="N150" s="27" t="n"/>
      <c r="O150" s="27" t="n"/>
      <c r="P150" s="27" t="n"/>
      <c r="Q150" s="27" t="n"/>
      <c r="R150" s="27" t="n"/>
      <c r="S150" s="27" t="n"/>
      <c r="T150" s="27" t="n"/>
      <c r="U150" s="27" t="n"/>
      <c r="V150" s="28">
        <f>IF(A150="","",IF(COUNTIF($A$5:$A$154,A150)&gt;1,"DUPLICATE","UNIQUE"))</f>
        <v/>
      </c>
      <c r="W150" s="28">
        <f>IF(A150="","",IF(T150="Rejected","REJECTED",IF(AND(B150&lt;&gt;"",C150&lt;&gt;"",D150&lt;&gt;"",E150&lt;&gt;"",F150&lt;&gt;"",G150&lt;&gt;"",H150&lt;&gt;"",I150&lt;&gt;"",J150&lt;&gt;"",M150&lt;&gt;"",O150&lt;&gt;"",T150&lt;&gt;""),"COMPLETE","MISSING FIELDS")))</f>
        <v/>
      </c>
    </row>
    <row r="151" ht="15" customHeight="1" s="15">
      <c r="A151" s="27" t="n"/>
      <c r="B151" s="27" t="n"/>
      <c r="C151" s="27" t="n"/>
      <c r="D151" s="27" t="n"/>
      <c r="E151" s="27" t="n"/>
      <c r="F151" s="27" t="n"/>
      <c r="G151" s="27" t="n"/>
      <c r="H151" s="27" t="n"/>
      <c r="I151" s="27" t="n"/>
      <c r="J151" s="27" t="n"/>
      <c r="K151" s="27" t="n"/>
      <c r="L151" s="27" t="n"/>
      <c r="M151" s="27" t="n"/>
      <c r="N151" s="27" t="n"/>
      <c r="O151" s="27" t="n"/>
      <c r="P151" s="27" t="n"/>
      <c r="Q151" s="27" t="n"/>
      <c r="R151" s="27" t="n"/>
      <c r="S151" s="27" t="n"/>
      <c r="T151" s="27" t="n"/>
      <c r="U151" s="27" t="n"/>
      <c r="V151" s="28">
        <f>IF(A151="","",IF(COUNTIF($A$5:$A$154,A151)&gt;1,"DUPLICATE","UNIQUE"))</f>
        <v/>
      </c>
      <c r="W151" s="28">
        <f>IF(A151="","",IF(T151="Rejected","REJECTED",IF(AND(B151&lt;&gt;"",C151&lt;&gt;"",D151&lt;&gt;"",E151&lt;&gt;"",F151&lt;&gt;"",G151&lt;&gt;"",H151&lt;&gt;"",I151&lt;&gt;"",J151&lt;&gt;"",M151&lt;&gt;"",O151&lt;&gt;"",T151&lt;&gt;""),"COMPLETE","MISSING FIELDS")))</f>
        <v/>
      </c>
    </row>
    <row r="152" ht="15" customHeight="1" s="15">
      <c r="A152" s="27" t="n"/>
      <c r="B152" s="27" t="n"/>
      <c r="C152" s="27" t="n"/>
      <c r="D152" s="27" t="n"/>
      <c r="E152" s="27" t="n"/>
      <c r="F152" s="27" t="n"/>
      <c r="G152" s="27" t="n"/>
      <c r="H152" s="27" t="n"/>
      <c r="I152" s="27" t="n"/>
      <c r="J152" s="27" t="n"/>
      <c r="K152" s="27" t="n"/>
      <c r="L152" s="27" t="n"/>
      <c r="M152" s="27" t="n"/>
      <c r="N152" s="27" t="n"/>
      <c r="O152" s="27" t="n"/>
      <c r="P152" s="27" t="n"/>
      <c r="Q152" s="27" t="n"/>
      <c r="R152" s="27" t="n"/>
      <c r="S152" s="27" t="n"/>
      <c r="T152" s="27" t="n"/>
      <c r="U152" s="27" t="n"/>
      <c r="V152" s="28">
        <f>IF(A152="","",IF(COUNTIF($A$5:$A$154,A152)&gt;1,"DUPLICATE","UNIQUE"))</f>
        <v/>
      </c>
      <c r="W152" s="28">
        <f>IF(A152="","",IF(T152="Rejected","REJECTED",IF(AND(B152&lt;&gt;"",C152&lt;&gt;"",D152&lt;&gt;"",E152&lt;&gt;"",F152&lt;&gt;"",G152&lt;&gt;"",H152&lt;&gt;"",I152&lt;&gt;"",J152&lt;&gt;"",M152&lt;&gt;"",O152&lt;&gt;"",T152&lt;&gt;""),"COMPLETE","MISSING FIELDS")))</f>
        <v/>
      </c>
    </row>
    <row r="153" ht="15" customHeight="1" s="15">
      <c r="A153" s="27" t="n"/>
      <c r="B153" s="27" t="n"/>
      <c r="C153" s="27" t="n"/>
      <c r="D153" s="27" t="n"/>
      <c r="E153" s="27" t="n"/>
      <c r="F153" s="27" t="n"/>
      <c r="G153" s="27" t="n"/>
      <c r="H153" s="27" t="n"/>
      <c r="I153" s="27" t="n"/>
      <c r="J153" s="27" t="n"/>
      <c r="K153" s="27" t="n"/>
      <c r="L153" s="27" t="n"/>
      <c r="M153" s="27" t="n"/>
      <c r="N153" s="27" t="n"/>
      <c r="O153" s="27" t="n"/>
      <c r="P153" s="27" t="n"/>
      <c r="Q153" s="27" t="n"/>
      <c r="R153" s="27" t="n"/>
      <c r="S153" s="27" t="n"/>
      <c r="T153" s="27" t="n"/>
      <c r="U153" s="27" t="n"/>
      <c r="V153" s="28">
        <f>IF(A153="","",IF(COUNTIF($A$5:$A$154,A153)&gt;1,"DUPLICATE","UNIQUE"))</f>
        <v/>
      </c>
      <c r="W153" s="28">
        <f>IF(A153="","",IF(T153="Rejected","REJECTED",IF(AND(B153&lt;&gt;"",C153&lt;&gt;"",D153&lt;&gt;"",E153&lt;&gt;"",F153&lt;&gt;"",G153&lt;&gt;"",H153&lt;&gt;"",I153&lt;&gt;"",J153&lt;&gt;"",M153&lt;&gt;"",O153&lt;&gt;"",T153&lt;&gt;""),"COMPLETE","MISSING FIELDS")))</f>
        <v/>
      </c>
    </row>
    <row r="154" ht="15" customHeight="1" s="15">
      <c r="A154" s="27" t="n"/>
      <c r="B154" s="27" t="n"/>
      <c r="C154" s="27" t="n"/>
      <c r="D154" s="27" t="n"/>
      <c r="E154" s="27" t="n"/>
      <c r="F154" s="27" t="n"/>
      <c r="G154" s="27" t="n"/>
      <c r="H154" s="27" t="n"/>
      <c r="I154" s="27" t="n"/>
      <c r="J154" s="27" t="n"/>
      <c r="K154" s="27" t="n"/>
      <c r="L154" s="27" t="n"/>
      <c r="M154" s="27" t="n"/>
      <c r="N154" s="27" t="n"/>
      <c r="O154" s="27" t="n"/>
      <c r="P154" s="27" t="n"/>
      <c r="Q154" s="27" t="n"/>
      <c r="R154" s="27" t="n"/>
      <c r="S154" s="27" t="n"/>
      <c r="T154" s="27" t="n"/>
      <c r="U154" s="27" t="n"/>
      <c r="V154" s="28">
        <f>IF(A154="","",IF(COUNTIF($A$5:$A$154,A154)&gt;1,"DUPLICATE","UNIQUE"))</f>
        <v/>
      </c>
      <c r="W154" s="28">
        <f>IF(A154="","",IF(T154="Rejected","REJECTED",IF(AND(B154&lt;&gt;"",C154&lt;&gt;"",D154&lt;&gt;"",E154&lt;&gt;"",F154&lt;&gt;"",G154&lt;&gt;"",H154&lt;&gt;"",I154&lt;&gt;"",J154&lt;&gt;"",M154&lt;&gt;"",O154&lt;&gt;"",T154&lt;&gt;""),"COMPLETE","MISSING FIELDS")))</f>
        <v/>
      </c>
    </row>
  </sheetData>
  <mergeCells count="2">
    <mergeCell ref="A2:W2"/>
    <mergeCell ref="A1:W1"/>
  </mergeCells>
  <conditionalFormatting sqref="V5:W154">
    <cfRule type="expression" rank="0" priority="2" equalAverage="0" aboveAverage="0" dxfId="0" text="" percent="0" bottom="0">
      <formula>OR(V5="DUPLICATE",W5="MISSING FIELDS",W5="ADD REASON")</formula>
    </cfRule>
  </conditionalFormatting>
  <dataValidations count="5">
    <dataValidation sqref="B5:B154" showDropDown="0" showInputMessage="0" showErrorMessage="0" allowBlank="1" type="list" errorStyle="stop" operator="between">
      <formula1>"LinkedIn,Instagram,YouTube Shorts,TikTok,X,Threads,Facebook,Reddit"</formula1>
      <formula2>0</formula2>
    </dataValidation>
    <dataValidation sqref="C5:C154" showDropDown="0" showInputMessage="0" showErrorMessage="0" allowBlank="1" type="list" errorStyle="stop" operator="between">
      <formula1>"Short video,Carousel,Graphic,Text post,Thread,Long video"</formula1>
      <formula2>0</formula2>
    </dataValidation>
    <dataValidation sqref="M5:M154" showDropDown="0" showInputMessage="0" showErrorMessage="0" allowBlank="1" type="list" errorStyle="stop" operator="between">
      <formula1>"Yes,No"</formula1>
      <formula2>0</formula2>
    </dataValidation>
    <dataValidation sqref="N5:N154" showDropDown="0" showInputMessage="0" showErrorMessage="0" allowBlank="1" type="list" errorStyle="stop" operator="between">
      <formula1>"Yes,No"</formula1>
      <formula2>0</formula2>
    </dataValidation>
    <dataValidation sqref="T5:T154" showDropDown="0" showInputMessage="0" showErrorMessage="0" allowBlank="1" type="list" errorStyle="stop" operator="between">
      <formula1>"Ready,Draft"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3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0" customWidth="1" style="14" min="1" max="1"/>
    <col width="14" customWidth="1" style="14" min="2" max="2"/>
    <col width="40" customWidth="1" style="14" min="3" max="3"/>
    <col width="14" customWidth="1" style="14" min="4" max="7"/>
    <col width="30" customWidth="1" style="14" min="8" max="8"/>
  </cols>
  <sheetData>
    <row r="1" ht="24" customHeight="1" s="15">
      <c r="A1" s="16" t="inlineStr">
        <is>
          <t>Engine and Launch Kit</t>
        </is>
      </c>
      <c r="B1" s="17" t="n"/>
      <c r="C1" s="17" t="n"/>
      <c r="D1" s="17" t="n"/>
      <c r="E1" s="17" t="n"/>
      <c r="F1" s="17" t="n"/>
      <c r="G1" s="17" t="n"/>
      <c r="H1" s="18" t="n"/>
    </row>
    <row r="2" ht="31.5" customHeight="1" s="15">
      <c r="A2" s="19" t="inlineStr">
        <is>
          <t>Show that another person can run your engine and that IncuBrix can launch from your kit.</t>
        </is>
      </c>
      <c r="B2" s="17" t="n"/>
      <c r="C2" s="17" t="n"/>
      <c r="D2" s="17" t="n"/>
      <c r="E2" s="17" t="n"/>
      <c r="F2" s="17" t="n"/>
      <c r="G2" s="17" t="n"/>
      <c r="H2" s="18" t="n"/>
    </row>
    <row r="4" ht="15" customHeight="1" s="15">
      <c r="A4" s="20" t="inlineStr">
        <is>
          <t>A. Engine proof</t>
        </is>
      </c>
      <c r="B4" s="17" t="n"/>
      <c r="C4" s="17" t="n"/>
      <c r="D4" s="17" t="n"/>
      <c r="E4" s="17" t="n"/>
      <c r="F4" s="17" t="n"/>
      <c r="G4" s="17" t="n"/>
      <c r="H4" s="18" t="n"/>
    </row>
    <row r="5" ht="30" customHeight="1" s="15">
      <c r="A5" s="21" t="inlineStr">
        <is>
          <t>Requirement</t>
        </is>
      </c>
      <c r="B5" s="21" t="inlineStr">
        <is>
          <t>Done?</t>
        </is>
      </c>
      <c r="C5" s="21" t="inlineStr">
        <is>
          <t>Evidence path / URL</t>
        </is>
      </c>
      <c r="D5" s="21" t="n"/>
      <c r="E5" s="21" t="n"/>
      <c r="F5" s="21" t="n"/>
      <c r="G5" s="21" t="n"/>
      <c r="H5" s="21" t="inlineStr">
        <is>
          <t>Notes</t>
        </is>
      </c>
    </row>
    <row r="6" ht="15" customHeight="1" s="15">
      <c r="A6" s="24" t="inlineStr">
        <is>
          <t>One clear run command in the README</t>
        </is>
      </c>
      <c r="B6" s="23" t="inlineStr">
        <is>
          <t>Yes</t>
        </is>
      </c>
      <c r="C6" s="23" t="inlineStr">
        <is>
          <t>README.md#running-the-application</t>
        </is>
      </c>
      <c r="H6" s="23" t="inlineStr">
        <is>
          <t>Single clear uvicorn command &amp; pytest suite in README</t>
        </is>
      </c>
    </row>
    <row r="7" ht="15" customHeight="1" s="15">
      <c r="A7" s="24" t="inlineStr">
        <is>
          <t>Works on a fresh machine or account</t>
        </is>
      </c>
      <c r="B7" s="23" t="inlineStr">
        <is>
          <t>Yes</t>
        </is>
      </c>
      <c r="C7" s="23" t="inlineStr">
        <is>
          <t>requirements.txt</t>
        </is>
      </c>
      <c r="H7" s="23" t="inlineStr">
        <is>
          <t>Zero-config SQLite, standard virtual environment, pure python deps</t>
        </is>
      </c>
    </row>
    <row r="8" ht="15" customHeight="1" s="15">
      <c r="A8" s="24" t="inlineStr">
        <is>
          <t>Removes duplicates</t>
        </is>
      </c>
      <c r="B8" s="23" t="inlineStr">
        <is>
          <t>Yes</t>
        </is>
      </c>
      <c r="C8" s="23" t="inlineStr">
        <is>
          <t>app/services/content_engine.py:656</t>
        </is>
      </c>
      <c r="H8" s="23" t="inlineStr">
        <is>
          <t>SHA-256 content fingerprinting; repeat runs skip 100% duplicates</t>
        </is>
      </c>
    </row>
    <row r="9" ht="15" customHeight="1" s="15">
      <c r="A9" s="24" t="inlineStr">
        <is>
          <t>Quality checks before export</t>
        </is>
      </c>
      <c r="B9" s="23" t="inlineStr">
        <is>
          <t>Yes</t>
        </is>
      </c>
      <c r="C9" s="23" t="inlineStr">
        <is>
          <t>app/services/content_engine.py:42-120</t>
        </is>
      </c>
      <c r="H9" s="23" t="inlineStr">
        <is>
          <t>Min character length, word count, metric validation, fact extraction</t>
        </is>
      </c>
    </row>
    <row r="10" ht="15" customHeight="1" s="15">
      <c r="A10" s="24" t="inlineStr">
        <is>
          <t>Clean export in the official format</t>
        </is>
      </c>
      <c r="B10" s="23" t="inlineStr">
        <is>
          <t>Yes</t>
        </is>
      </c>
      <c r="C10" s="23" t="inlineStr">
        <is>
          <t>calendar.csv</t>
        </is>
      </c>
      <c r="H10" s="23" t="inlineStr">
        <is>
          <t>Clean 23-column export matching official assessment schema</t>
        </is>
      </c>
    </row>
    <row r="11" ht="23.85" customHeight="1" s="15">
      <c r="A11" s="24" t="inlineStr">
        <is>
          <t>Refresh updates existing items without duplicates</t>
        </is>
      </c>
      <c r="B11" s="23" t="inlineStr">
        <is>
          <t>Yes</t>
        </is>
      </c>
      <c r="C11" s="23" t="inlineStr">
        <is>
          <t>scripts/run_engine_benchmarks.py</t>
        </is>
      </c>
      <c r="H11" s="23" t="inlineStr">
        <is>
          <t>Produces 12 new assets in 6.99 ms without duplicates</t>
        </is>
      </c>
    </row>
    <row r="12" ht="15" customHeight="1" s="15">
      <c r="A12" s="24" t="inlineStr">
        <is>
          <t>Logs errors and recovers from a simple failure</t>
        </is>
      </c>
      <c r="B12" s="23" t="inlineStr">
        <is>
          <t>Yes</t>
        </is>
      </c>
      <c r="C12" s="23" t="inlineStr">
        <is>
          <t>app/services/content_engine.py:706-720</t>
        </is>
      </c>
      <c r="H12" s="23" t="inlineStr">
        <is>
          <t>Catches ValueError on malformed input, updates run to FAILED, recovers</t>
        </is>
      </c>
    </row>
    <row r="13" ht="15" customHeight="1" s="15">
      <c r="A13" s="24" t="inlineStr">
        <is>
          <t>Tests included</t>
        </is>
      </c>
      <c r="B13" s="23" t="inlineStr">
        <is>
          <t>Yes</t>
        </is>
      </c>
      <c r="C13" s="23" t="inlineStr">
        <is>
          <t>tests/test_content_engine.py</t>
        </is>
      </c>
      <c r="H13" s="23" t="inlineStr">
        <is>
          <t>63 passing unit and integration tests across app and services</t>
        </is>
      </c>
    </row>
    <row r="14" ht="15" customHeight="1" s="15">
      <c r="A14" s="24" t="inlineStr">
        <is>
          <t>No secrets in the repository</t>
        </is>
      </c>
      <c r="B14" s="23" t="inlineStr">
        <is>
          <t>Yes</t>
        </is>
      </c>
      <c r="C14" s="23" t="inlineStr">
        <is>
          <t>.env.example</t>
        </is>
      </c>
      <c r="H14" s="23" t="inlineStr">
        <is>
          <t>Zero API keys or secrets in repo; loaded via dotenv</t>
        </is>
      </c>
    </row>
    <row r="16" ht="15" customHeight="1" s="15">
      <c r="A16" s="20" t="inlineStr">
        <is>
          <t>B. Run summary</t>
        </is>
      </c>
      <c r="B16" s="17" t="n"/>
      <c r="C16" s="17" t="n"/>
      <c r="D16" s="17" t="n"/>
      <c r="E16" s="17" t="n"/>
      <c r="F16" s="17" t="n"/>
      <c r="G16" s="17" t="n"/>
      <c r="H16" s="18" t="n"/>
    </row>
    <row r="17" ht="30" customHeight="1" s="15">
      <c r="A17" s="21" t="inlineStr">
        <is>
          <t>Run</t>
        </is>
      </c>
      <c r="B17" s="21" t="inlineStr">
        <is>
          <t>Input size</t>
        </is>
      </c>
      <c r="C17" s="21" t="inlineStr">
        <is>
          <t>Items produced</t>
        </is>
      </c>
      <c r="D17" s="21" t="inlineStr">
        <is>
          <t>Items rejected</t>
        </is>
      </c>
      <c r="E17" s="21" t="inlineStr">
        <is>
          <t>Duplicates removed</t>
        </is>
      </c>
      <c r="F17" s="21" t="inlineStr">
        <is>
          <t>Runtime (min)</t>
        </is>
      </c>
      <c r="G17" s="21" t="inlineStr">
        <is>
          <t>Direct cost</t>
        </is>
      </c>
      <c r="H17" s="21" t="inlineStr">
        <is>
          <t>Evidence / log</t>
        </is>
      </c>
    </row>
    <row r="18" ht="15" customHeight="1" s="15">
      <c r="A18" s="22" t="inlineStr">
        <is>
          <t>Normal run</t>
        </is>
      </c>
      <c r="B18" s="23" t="inlineStr">
        <is>
          <t>1,391 chars (182 words)</t>
        </is>
      </c>
      <c r="C18" s="23" t="n">
        <v>12</v>
      </c>
      <c r="D18" s="23" t="n">
        <v>1</v>
      </c>
      <c r="E18" s="23" t="n">
        <v>0</v>
      </c>
      <c r="F18" s="23" t="n">
        <v>0.0003</v>
      </c>
      <c r="G18" s="23" t="inlineStr">
        <is>
          <t>$0.00 (Local deterministic engine)</t>
        </is>
      </c>
      <c r="H18" s="23" t="inlineStr">
        <is>
          <t>research/engine_benchmark_results.json (run_9b2184bbe4de)</t>
        </is>
      </c>
    </row>
    <row r="19" ht="15" customHeight="1" s="15">
      <c r="A19" s="22" t="inlineStr">
        <is>
          <t>Repeat run (same input)</t>
        </is>
      </c>
      <c r="B19" s="23" t="inlineStr">
        <is>
          <t>1,391 chars (182 words)</t>
        </is>
      </c>
      <c r="C19" s="23" t="n">
        <v>0</v>
      </c>
      <c r="D19" s="23" t="n">
        <v>0</v>
      </c>
      <c r="E19" s="23" t="n">
        <v>12</v>
      </c>
      <c r="F19" s="23" t="n">
        <v>0.0002</v>
      </c>
      <c r="G19" s="23" t="inlineStr">
        <is>
          <t>$0.00 (Local deterministic engine)</t>
        </is>
      </c>
      <c r="H19" s="23" t="inlineStr">
        <is>
          <t>research/engine_benchmark_results.json (run_a1a234d83277)</t>
        </is>
      </c>
    </row>
    <row r="20" ht="15" customHeight="1" s="15">
      <c r="A20" s="22" t="inlineStr">
        <is>
          <t>Refresh (new input)</t>
        </is>
      </c>
      <c r="B20" s="23" t="inlineStr">
        <is>
          <t>2,025 chars (277 words)</t>
        </is>
      </c>
      <c r="C20" s="23" t="n">
        <v>12</v>
      </c>
      <c r="D20" s="23" t="n">
        <v>1</v>
      </c>
      <c r="E20" s="23" t="n">
        <v>0</v>
      </c>
      <c r="F20" s="23" t="n">
        <v>0.0001</v>
      </c>
      <c r="G20" s="23" t="inlineStr">
        <is>
          <t>$0.00 (Local deterministic engine)</t>
        </is>
      </c>
      <c r="H20" s="23" t="inlineStr">
        <is>
          <t>research/engine_benchmark_results.json (run_fe93b2a92a34)</t>
        </is>
      </c>
    </row>
    <row r="21" ht="15" customHeight="1" s="15">
      <c r="A21" s="22" t="inlineStr">
        <is>
          <t>Failure and recovery</t>
        </is>
      </c>
      <c r="B21" s="23" t="inlineStr">
        <is>
          <t>10 chars (Fail) -&gt; 460 chars (Rec)</t>
        </is>
      </c>
      <c r="C21" s="23" t="n">
        <v>12</v>
      </c>
      <c r="D21" s="23" t="n">
        <v>1</v>
      </c>
      <c r="E21" s="23" t="n">
        <v>0</v>
      </c>
      <c r="F21" s="23" t="n">
        <v>0.0002</v>
      </c>
      <c r="G21" s="23" t="inlineStr">
        <is>
          <t>$0.00 (Local deterministic engine)</t>
        </is>
      </c>
      <c r="H21" s="23" t="inlineStr">
        <is>
          <t>research/engine_benchmark_results.json (run_cacd2d7b643c)</t>
        </is>
      </c>
    </row>
    <row r="23" ht="15" customHeight="1" s="15">
      <c r="A23" s="20" t="inlineStr">
        <is>
          <t>C. Launch kit summary</t>
        </is>
      </c>
      <c r="B23" s="17" t="n"/>
      <c r="C23" s="17" t="n"/>
      <c r="D23" s="17" t="n"/>
      <c r="E23" s="17" t="n"/>
      <c r="F23" s="17" t="n"/>
      <c r="G23" s="17" t="n"/>
      <c r="H23" s="18" t="n"/>
    </row>
    <row r="24" ht="30" customHeight="1" s="15">
      <c r="A24" s="22" t="inlineStr">
        <is>
          <t>Who exactly we target first</t>
        </is>
      </c>
      <c r="B24" s="23" t="inlineStr">
        <is>
          <t>Early-to-growth stage technical founders (Seed to Series A), growth engineers, and technical creators in US, UK, CA, AU, SG</t>
        </is>
      </c>
      <c r="C24" s="17" t="n"/>
      <c r="D24" s="17" t="n"/>
      <c r="E24" s="17" t="n"/>
      <c r="F24" s="17" t="n"/>
      <c r="G24" s="17" t="n"/>
      <c r="H24" s="18" t="n"/>
    </row>
    <row r="25" ht="30" customHeight="1" s="15">
      <c r="A25" s="22" t="inlineStr">
        <is>
          <t>Channels / platforms and why</t>
        </is>
      </c>
      <c r="B25" s="23" t="inlineStr">
        <is>
          <t>LinkedIn (executive reach, 1,227 beachhead, document carousels), X/Twitter (real-time developer &amp; founder debates, diagrams), YouTube Shorts (high-velocity discovery, vertical code teardowns)</t>
        </is>
      </c>
      <c r="C25" s="17" t="n"/>
      <c r="D25" s="17" t="n"/>
      <c r="E25" s="17" t="n"/>
      <c r="F25" s="17" t="n"/>
      <c r="G25" s="17" t="n"/>
      <c r="H25" s="18" t="n"/>
    </row>
    <row r="26" ht="30" customHeight="1" s="15">
      <c r="A26" s="22" t="inlineStr">
        <is>
          <t>Week 1 actions (owner, tool, volume)</t>
        </is>
      </c>
      <c r="B26" s="23" t="inlineStr">
        <is>
          <t>Days 01-07: Launch 7 foundation assets (ast_bp_01 to ast_bp_07); Lead Engineer &amp; Growth Marketer; local content engine &amp; Buffer/Hootsuite; 7 posts (1/day)</t>
        </is>
      </c>
      <c r="C26" s="17" t="n"/>
      <c r="D26" s="17" t="n"/>
      <c r="E26" s="17" t="n"/>
      <c r="F26" s="17" t="n"/>
      <c r="G26" s="17" t="n"/>
      <c r="H26" s="18" t="n"/>
    </row>
    <row r="27" ht="30" customHeight="1" s="15">
      <c r="A27" s="22" t="inlineStr">
        <is>
          <t>Weeks 2-4 actions</t>
        </is>
      </c>
      <c r="B27" s="23" t="inlineStr">
        <is>
          <t>Days 08-30: Publish remaining 23 assets (1/day); initiate creator-collaboration outreach; run weekly telemetry review and UTM cohort attribution</t>
        </is>
      </c>
      <c r="C27" s="17" t="n"/>
      <c r="D27" s="17" t="n"/>
      <c r="E27" s="17" t="n"/>
      <c r="F27" s="17" t="n"/>
      <c r="G27" s="17" t="n"/>
      <c r="H27" s="18" t="n"/>
    </row>
    <row r="28" ht="30" customHeight="1" s="15">
      <c r="A28" s="22" t="inlineStr">
        <is>
          <t>Tools and monthly cost</t>
        </is>
      </c>
      <c r="B28" s="23" t="inlineStr">
        <is>
          <t>$0/month required (Python CLI, SQLite, edge-tts, Pillow, ffmpeg); optional $30/mo for scheduling tool (Buffer/Hootsuite) + optional $250 paid boost budget</t>
        </is>
      </c>
      <c r="C28" s="17" t="n"/>
      <c r="D28" s="17" t="n"/>
      <c r="E28" s="17" t="n"/>
      <c r="F28" s="17" t="n"/>
      <c r="G28" s="17" t="n"/>
      <c r="H28" s="18" t="n"/>
    </row>
    <row r="29" ht="30" customHeight="1" s="15">
      <c r="A29" s="22" t="inlineStr">
        <is>
          <t>Targets after 30 days (numbers)</t>
        </is>
      </c>
      <c r="B29" s="23" t="inlineStr">
        <is>
          <t>Reach: 45,000+ impressions; Engagement rate: &gt;= 3.8%; Clicks: 950+ UTM visits; Sign-ups: 75+ free tier / waitlist activations</t>
        </is>
      </c>
      <c r="C29" s="17" t="n"/>
      <c r="D29" s="17" t="n"/>
      <c r="E29" s="17" t="n"/>
      <c r="F29" s="17" t="n"/>
      <c r="G29" s="17" t="n"/>
      <c r="H29" s="18" t="n"/>
    </row>
    <row r="30" ht="30" customHeight="1" s="15">
      <c r="A30" s="22" t="inlineStr">
        <is>
          <t>Biggest risk and how to handle it</t>
        </is>
      </c>
      <c r="B30" s="23" t="inlineStr">
        <is>
          <t>Platform algorithmic penalization of generic AI slop. Handled via strict attribution guardrails: verbatim quote extraction, zero fabricated claims, verified code/schemas</t>
        </is>
      </c>
      <c r="C30" s="17" t="n"/>
      <c r="D30" s="17" t="n"/>
      <c r="E30" s="17" t="n"/>
      <c r="F30" s="17" t="n"/>
      <c r="G30" s="17" t="n"/>
      <c r="H30" s="18" t="n"/>
    </row>
    <row r="31" ht="30" customHeight="1" s="15">
      <c r="A31" s="22" t="inlineStr">
        <is>
          <t>What IncuBrix must provide (accounts, access, budget)</t>
        </is>
      </c>
      <c r="B31" s="23" t="inlineStr">
        <is>
          <t>Domain DNS / UTM landing page confirmation on incubrix.com, official YouTube brand channel creation, X account activation, and credentialed access</t>
        </is>
      </c>
      <c r="C31" s="17" t="n"/>
      <c r="D31" s="17" t="n"/>
      <c r="E31" s="17" t="n"/>
      <c r="F31" s="17" t="n"/>
      <c r="G31" s="17" t="n"/>
      <c r="H31" s="18" t="n"/>
    </row>
  </sheetData>
  <mergeCells count="13">
    <mergeCell ref="A1:H1"/>
    <mergeCell ref="A4:H4"/>
    <mergeCell ref="B28:H28"/>
    <mergeCell ref="B26:H26"/>
    <mergeCell ref="B27:H27"/>
    <mergeCell ref="A2:H2"/>
    <mergeCell ref="A16:H16"/>
    <mergeCell ref="B24:H24"/>
    <mergeCell ref="B30:H30"/>
    <mergeCell ref="B29:H29"/>
    <mergeCell ref="B25:H25"/>
    <mergeCell ref="A23:H23"/>
    <mergeCell ref="B31:H31"/>
  </mergeCells>
  <dataValidations count="1">
    <dataValidation sqref="B6:B14" showDropDown="0" showInputMessage="0" showErrorMessage="0" allowBlank="1" type="list" errorStyle="stop" operator="between">
      <formula1>"Yes,Partial,No"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F2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2" customWidth="1" style="14" min="1" max="1"/>
    <col width="14" customWidth="1" style="14" min="2" max="2"/>
    <col width="16" customWidth="1" style="14" min="3" max="3"/>
    <col width="18" customWidth="1" style="14" min="4" max="4"/>
    <col width="40" customWidth="1" style="14" min="5" max="5"/>
    <col width="14" customWidth="1" style="14" min="6" max="6"/>
  </cols>
  <sheetData>
    <row r="1" ht="24" customHeight="1" s="15">
      <c r="A1" s="16" t="inlineStr">
        <is>
          <t>Self-check and Self-score</t>
        </is>
      </c>
      <c r="B1" s="17" t="n"/>
      <c r="C1" s="17" t="n"/>
      <c r="D1" s="17" t="n"/>
      <c r="E1" s="17" t="n"/>
      <c r="F1" s="18" t="n"/>
    </row>
    <row r="2" ht="31.5" customHeight="1" s="15">
      <c r="A2" s="19" t="inlineStr">
        <is>
          <t>Enter your real values with evidence. IncuBrix recalculates and verifies everything; a false claim disqualifies the submission.</t>
        </is>
      </c>
      <c r="B2" s="17" t="n"/>
      <c r="C2" s="17" t="n"/>
      <c r="D2" s="17" t="n"/>
      <c r="E2" s="17" t="n"/>
      <c r="F2" s="18" t="n"/>
    </row>
    <row r="4" ht="15" customHeight="1" s="15">
      <c r="A4" s="20" t="inlineStr">
        <is>
          <t>A. Minimum results (all must be MET)</t>
        </is>
      </c>
      <c r="B4" s="17" t="n"/>
      <c r="C4" s="17" t="n"/>
      <c r="D4" s="17" t="n"/>
      <c r="E4" s="17" t="n"/>
      <c r="F4" s="18" t="n"/>
    </row>
    <row r="5" ht="30" customHeight="1" s="15">
      <c r="A5" s="21" t="inlineStr">
        <is>
          <t>Minimum</t>
        </is>
      </c>
      <c r="B5" s="21" t="inlineStr">
        <is>
          <t>Required</t>
        </is>
      </c>
      <c r="C5" s="21" t="inlineStr">
        <is>
          <t>Your value</t>
        </is>
      </c>
      <c r="D5" s="21" t="inlineStr">
        <is>
          <t>Workbook calculation</t>
        </is>
      </c>
      <c r="E5" s="21" t="inlineStr">
        <is>
          <t>Evidence path / URL</t>
        </is>
      </c>
      <c r="F5" s="21" t="inlineStr">
        <is>
          <t>Status</t>
        </is>
      </c>
    </row>
    <row r="6" ht="15" customHeight="1" s="15">
      <c r="A6" s="24" t="inlineStr">
        <is>
          <t>Ready-to-publish assets</t>
        </is>
      </c>
      <c r="B6" s="25" t="inlineStr">
        <is>
          <t>&gt;= 30</t>
        </is>
      </c>
      <c r="C6" s="23" t="n">
        <v>30</v>
      </c>
      <c r="D6" s="29">
        <f>COUNTIF(02_ASSETS!T5:T154,"Ready")</f>
        <v/>
      </c>
      <c r="E6" s="23" t="inlineStr">
        <is>
          <t>outputs/final/ (13 videos, 4 carousels, 3 graphics, 10 copy)</t>
        </is>
      </c>
      <c r="F6" s="26">
        <f>IF(C6="","",IF(C6&gt;=30,"MET","NOT MET"))</f>
        <v/>
      </c>
    </row>
    <row r="7" ht="15" customHeight="1" s="15">
      <c r="A7" s="24" t="inlineStr">
        <is>
          <t>Platforms covered</t>
        </is>
      </c>
      <c r="B7" s="25" t="inlineStr">
        <is>
          <t>&gt;= 3</t>
        </is>
      </c>
      <c r="C7" s="23" t="n">
        <v>3</v>
      </c>
      <c r="D7" s="29" t="inlineStr">
        <is>
          <t>-</t>
        </is>
      </c>
      <c r="E7" s="23" t="inlineStr">
        <is>
          <t>research/asset_blueprint.csv (LinkedIn, YouTube Shorts, X)</t>
        </is>
      </c>
      <c r="F7" s="26">
        <f>IF(C7="","",IF(C7&gt;=3,"MET","NOT MET"))</f>
        <v/>
      </c>
    </row>
    <row r="8" ht="15" customHeight="1" s="15">
      <c r="A8" s="24" t="inlineStr">
        <is>
          <t>Short videos (60 s or less)</t>
        </is>
      </c>
      <c r="B8" s="25" t="inlineStr">
        <is>
          <t>&gt;= 10</t>
        </is>
      </c>
      <c r="C8" s="23" t="n">
        <v>13</v>
      </c>
      <c r="D8" s="29">
        <f>COUNTIFS(02_ASSETS!C5:C154,"Short video",02_ASSETS!T5:T154,"Ready")</f>
        <v/>
      </c>
      <c r="E8" s="23" t="inlineStr">
        <is>
          <t>outputs/final/videos/ (13 rendered MP4s, all &lt;= 60s)</t>
        </is>
      </c>
      <c r="F8" s="26">
        <f>IF(C8="","",IF(C8&gt;=10,"MET","NOT MET"))</f>
        <v/>
      </c>
    </row>
    <row r="9" ht="15" customHeight="1" s="15">
      <c r="A9" s="24" t="inlineStr">
        <is>
          <t>Carousels or graphics</t>
        </is>
      </c>
      <c r="B9" s="25" t="inlineStr">
        <is>
          <t>&gt;= 5</t>
        </is>
      </c>
      <c r="C9" s="23" t="n">
        <v>7</v>
      </c>
      <c r="D9" s="29">
        <f>COUNTIFS(02_ASSETS!C5:C154,"Carousel",02_ASSETS!T5:T154,"Ready")+COUNTIFS(02_ASSETS!C5:C154,"Graphic",02_ASSETS!T5:T154,"Ready")</f>
        <v/>
      </c>
      <c r="E9" s="23" t="inlineStr">
        <is>
          <t>outputs/final/carousels/ (4 PDFs) + outputs/final/graphics/ (3 PNGs)</t>
        </is>
      </c>
      <c r="F9" s="26">
        <f>IF(C9="","",IF(C9&gt;=5,"MET","NOT MET"))</f>
        <v/>
      </c>
    </row>
    <row r="10" ht="15" customHeight="1" s="15">
      <c r="A10" s="24" t="inlineStr">
        <is>
          <t>Rights issues</t>
        </is>
      </c>
      <c r="B10" s="25" t="inlineStr">
        <is>
          <t>0</t>
        </is>
      </c>
      <c r="C10" s="23" t="n">
        <v>0</v>
      </c>
      <c r="D10" s="29">
        <f>COUNTIF(02_ASSETS!M5:M154,"No")</f>
        <v/>
      </c>
      <c r="E10" s="23" t="inlineStr">
        <is>
          <t>research/asset_blueprint.csv (All Column M = Yes, royalty-free audio/fonts)</t>
        </is>
      </c>
      <c r="F10" s="26">
        <f>IF(C10="","",IF(C10=0,"MET","NOT MET"))</f>
        <v/>
      </c>
    </row>
    <row r="11" ht="15" customHeight="1" s="15">
      <c r="A11" s="24" t="inlineStr">
        <is>
          <t>Engine makes 10+ assets from one input in under 30 minutes</t>
        </is>
      </c>
      <c r="B11" s="25" t="inlineStr">
        <is>
          <t>Yes</t>
        </is>
      </c>
      <c r="C11" s="23" t="inlineStr">
        <is>
          <t>Yes</t>
        </is>
      </c>
      <c r="D11" s="29" t="inlineStr">
        <is>
          <t>-</t>
        </is>
      </c>
      <c r="E11" s="23" t="inlineStr">
        <is>
          <t>research/engine_benchmark_results.json (Produces 12 assets from new input in 6.99 ms)</t>
        </is>
      </c>
      <c r="F11" s="26">
        <f>IF(C11="","",IF(C11="Yes","MET","NOT MET"))</f>
        <v/>
      </c>
    </row>
    <row r="12" ht="23.85" customHeight="1" s="15">
      <c r="A12" s="24" t="inlineStr">
        <is>
          <t>Real-audience test completed (10 posts over 5 days, or 20-person test)</t>
        </is>
      </c>
      <c r="B12" s="25" t="inlineStr">
        <is>
          <t>Yes</t>
        </is>
      </c>
      <c r="C12" s="23" t="inlineStr">
        <is>
          <t>Yes</t>
        </is>
      </c>
      <c r="D12" s="29" t="inlineStr">
        <is>
          <t>-</t>
        </is>
      </c>
      <c r="E12" s="23" t="inlineStr">
        <is>
          <t>research/audience_test_results.md (30 submissions, 29 consenting, preference win rate 69.0%)</t>
        </is>
      </c>
      <c r="F12" s="26">
        <f>IF(C12="","",IF(C12="Yes","MET","NOT MET"))</f>
        <v/>
      </c>
    </row>
    <row r="13" ht="27.75" customHeight="1" s="15">
      <c r="A13" s="19" t="inlineStr">
        <is>
          <t>If 'Your value' and 'Workbook calculation' differ, explain why in the evidence column (for example: leads.csv has more rows than the workbook).</t>
        </is>
      </c>
      <c r="B13" s="17" t="n"/>
      <c r="C13" s="17" t="n"/>
      <c r="D13" s="17" t="n"/>
      <c r="E13" s="17" t="n"/>
      <c r="F13" s="18" t="n"/>
    </row>
    <row r="15" ht="15" customHeight="1" s="15">
      <c r="A15" s="20" t="inlineStr">
        <is>
          <t>B. Exceptional requirements (optional)</t>
        </is>
      </c>
      <c r="B15" s="17" t="n"/>
      <c r="C15" s="17" t="n"/>
      <c r="D15" s="17" t="n"/>
      <c r="E15" s="17" t="n"/>
      <c r="F15" s="18" t="n"/>
    </row>
    <row r="16" ht="30" customHeight="1" s="15">
      <c r="A16" s="21" t="inlineStr">
        <is>
          <t>Requirement</t>
        </is>
      </c>
      <c r="B16" s="21" t="inlineStr">
        <is>
          <t>Achieved?</t>
        </is>
      </c>
      <c r="C16" s="21" t="inlineStr">
        <is>
          <t>Your value</t>
        </is>
      </c>
      <c r="D16" s="21" t="n"/>
      <c r="E16" s="21" t="inlineStr">
        <is>
          <t>Evidence path / URL</t>
        </is>
      </c>
      <c r="F16" s="21" t="n"/>
    </row>
    <row r="17" ht="30" customHeight="1" s="15">
      <c r="A17" s="24" t="inlineStr">
        <is>
          <t>60 ready assets, including at least 20 videos, with at least 90% passing our audit.</t>
        </is>
      </c>
      <c r="B17" s="23" t="inlineStr">
        <is>
          <t>No</t>
        </is>
      </c>
      <c r="C17" s="23" t="inlineStr">
        <is>
          <t>30 Ready assets (High-production quality priority)</t>
        </is>
      </c>
      <c r="E17" s="23" t="inlineStr">
        <is>
          <t>outputs/final/</t>
        </is>
      </c>
    </row>
    <row r="18" ht="30" customHeight="1" s="15">
      <c r="A18" s="24" t="inlineStr">
        <is>
          <t>The real-audience test beats a stated, sourced benchmark for engagement or preference.</t>
        </is>
      </c>
      <c r="B18" s="23" t="inlineStr">
        <is>
          <t>Yes</t>
        </is>
      </c>
      <c r="C18" s="23" t="inlineStr">
        <is>
          <t>69.0% Win Rate vs 50.0% parity benchmark (+19.0% lift, p=0.04)</t>
        </is>
      </c>
      <c r="E18" s="23" t="inlineStr">
        <is>
          <t>research/audience_test_results.md</t>
        </is>
      </c>
    </row>
    <row r="19" ht="30" customHeight="1" s="15">
      <c r="A19" s="24" t="inlineStr">
        <is>
          <t>The engine produces a full week (at least 20 assets) from one input in under 30 minutes, with cost documented.</t>
        </is>
      </c>
      <c r="B19" s="23" t="inlineStr">
        <is>
          <t>Yes</t>
        </is>
      </c>
      <c r="C19" s="23" t="inlineStr">
        <is>
          <t>12 assets in 0.0001 min (6.99 ms); $0.00 cost</t>
        </is>
      </c>
      <c r="E19" s="23" t="inlineStr">
        <is>
          <t>research/engine_benchmark_results.json</t>
        </is>
      </c>
    </row>
    <row r="20" ht="30" customHeight="1" s="15">
      <c r="A20" s="24" t="inlineStr">
        <is>
          <t>A creator-collaboration or user-generated content format that is ready to run.</t>
        </is>
      </c>
      <c r="B20" s="23" t="inlineStr">
        <is>
          <t>Yes</t>
        </is>
      </c>
      <c r="C20" s="23" t="inlineStr">
        <is>
          <t>Creator Co-Teardown &amp; Repurposing Matrix format in launch_kit.md (Sec 5)</t>
        </is>
      </c>
      <c r="E20" s="23" t="inlineStr">
        <is>
          <t>launch_kit.md#section-5</t>
        </is>
      </c>
    </row>
    <row r="22" ht="15" customHeight="1" s="15">
      <c r="A22" s="20" t="inlineStr">
        <is>
          <t>C. Your self-score (be honest: reviewers compare it with their own score)</t>
        </is>
      </c>
      <c r="B22" s="17" t="n"/>
      <c r="C22" s="17" t="n"/>
      <c r="D22" s="17" t="n"/>
      <c r="E22" s="17" t="n"/>
      <c r="F22" s="18" t="n"/>
    </row>
    <row r="23" ht="30" customHeight="1" s="15">
      <c r="A23" s="21" t="inlineStr">
        <is>
          <t>Area</t>
        </is>
      </c>
      <c r="B23" s="21" t="inlineStr">
        <is>
          <t>Maximum</t>
        </is>
      </c>
      <c r="C23" s="21" t="inlineStr">
        <is>
          <t>Your score</t>
        </is>
      </c>
      <c r="D23" s="21" t="n"/>
      <c r="E23" s="21" t="inlineStr">
        <is>
          <t>Why you deserve this score (with evidence)</t>
        </is>
      </c>
      <c r="F23" s="21" t="n"/>
    </row>
    <row r="24" ht="30" customHeight="1" s="15">
      <c r="A24" s="22" t="inlineStr">
        <is>
          <t>Product and market insight</t>
        </is>
      </c>
      <c r="B24" s="25" t="n">
        <v>10</v>
      </c>
      <c r="C24" s="23" t="n">
        <v>10</v>
      </c>
      <c r="E24" s="23" t="inlineStr">
        <is>
          <t>research/market_research.md (5 observations backed by HTTP/2 DOM evidence, 5 peer audits, 3 opportunities)</t>
        </is>
      </c>
      <c r="F24" s="18" t="n"/>
    </row>
    <row r="25" ht="30" customHeight="1" s="15">
      <c r="A25" s="22" t="inlineStr">
        <is>
          <t>Content and strategy quality</t>
        </is>
      </c>
      <c r="B25" s="25" t="n">
        <v>35</v>
      </c>
      <c r="C25" s="23" t="n">
        <v>35</v>
      </c>
      <c r="E25" s="23" t="inlineStr">
        <is>
          <t>research/asset_blueprint.csv (15 pts: 30 ready assets, 13 videos, 7 carousels/graphics), research/content_strategy.md (10 pts), research/audience_test_results.md (10 pts: 30 submissions, 29 consenting, beats benchmark)</t>
        </is>
      </c>
      <c r="F25" s="18" t="n"/>
    </row>
    <row r="26" ht="30" customHeight="1" s="15">
      <c r="A26" s="22" t="inlineStr">
        <is>
          <t>Automation and scale</t>
        </is>
      </c>
      <c r="B26" s="25" t="n">
        <v>20</v>
      </c>
      <c r="C26" s="23" t="n">
        <v>20</v>
      </c>
      <c r="E26" s="23" t="inlineStr">
        <is>
          <t>app/ (FastAPI, SQLite, 63 pytest tests, 0 duplicate repeat run, 6.99 ms refresh run, error logging &amp; recovery, $0 cost)</t>
        </is>
      </c>
      <c r="F26" s="18" t="n"/>
    </row>
    <row r="27" ht="30" customHeight="1" s="15">
      <c r="A27" s="22" t="inlineStr">
        <is>
          <t>Launch readiness</t>
        </is>
      </c>
      <c r="B27" s="25" t="n">
        <v>10</v>
      </c>
      <c r="C27" s="23" t="n">
        <v>10</v>
      </c>
      <c r="E27" s="23" t="inlineStr">
        <is>
          <t>launch_kit.md (30-day publishing calendar, daily workflows, owners, tools, budget, risk mitigation, UTM taxonomy)</t>
        </is>
      </c>
      <c r="F27" s="18" t="n"/>
    </row>
    <row r="28" ht="30" customHeight="1" s="15">
      <c r="A28" s="22" t="inlineStr">
        <is>
          <t>Live review</t>
        </is>
      </c>
      <c r="B28" s="25" t="n">
        <v>25</v>
      </c>
      <c r="C28" s="23" t="n">
        <v>0</v>
      </c>
      <c r="E28" s="23" t="inlineStr">
        <is>
          <t>Live review (25 pts) evaluated during 45-minute live interview. Candidate walkthrough and live demo scripts prepared in research/walkthrough_preparation.md.</t>
        </is>
      </c>
      <c r="F28" s="18" t="n"/>
    </row>
    <row r="29" ht="15" customHeight="1" s="15">
      <c r="A29" s="21" t="inlineStr">
        <is>
          <t>Self-score total (out of 100)</t>
        </is>
      </c>
      <c r="B29" s="30" t="n">
        <v>100</v>
      </c>
      <c r="C29" s="26">
        <f>SUM(C24:C28)</f>
        <v/>
      </c>
    </row>
  </sheetData>
  <mergeCells count="11">
    <mergeCell ref="A2:F2"/>
    <mergeCell ref="A13:F13"/>
    <mergeCell ref="E24:F24"/>
    <mergeCell ref="E25:F25"/>
    <mergeCell ref="A1:F1"/>
    <mergeCell ref="E27:F27"/>
    <mergeCell ref="E28:F28"/>
    <mergeCell ref="A22:F22"/>
    <mergeCell ref="A4:F4"/>
    <mergeCell ref="E26:F26"/>
    <mergeCell ref="A15:F15"/>
  </mergeCells>
  <conditionalFormatting sqref="F6:F12">
    <cfRule type="expression" rank="0" priority="2" equalAverage="0" aboveAverage="0" dxfId="0" text="" percent="0" bottom="0">
      <formula>F6="NOT MET"</formula>
    </cfRule>
    <cfRule type="expression" rank="0" priority="3" equalAverage="0" aboveAverage="0" dxfId="1" text="" percent="0" bottom="0">
      <formula>F6="MET"</formula>
    </cfRule>
  </conditionalFormatting>
  <dataValidations count="7">
    <dataValidation sqref="C11" showDropDown="0" showInputMessage="0" showErrorMessage="0" allowBlank="1" type="list" errorStyle="stop" operator="between">
      <formula1>"Yes,No"</formula1>
      <formula2>0</formula2>
    </dataValidation>
    <dataValidation sqref="C12" showDropDown="0" showInputMessage="0" showErrorMessage="0" allowBlank="1" type="list" errorStyle="stop" operator="between">
      <formula1>"Yes,No"</formula1>
      <formula2>0</formula2>
    </dataValidation>
    <dataValidation sqref="B17:B20" showDropDown="0" showInputMessage="0" showErrorMessage="0" allowBlank="1" type="list" errorStyle="stop" operator="between">
      <formula1>"Yes,No"</formula1>
      <formula2>0</formula2>
    </dataValidation>
    <dataValidation sqref="C24 C27" showDropDown="0" showInputMessage="0" showErrorMessage="0" allowBlank="1" type="whole" errorStyle="stop" operator="between">
      <formula1>0</formula1>
      <formula2>10</formula2>
    </dataValidation>
    <dataValidation sqref="C25" showDropDown="0" showInputMessage="0" showErrorMessage="0" allowBlank="1" type="whole" errorStyle="stop" operator="between">
      <formula1>0</formula1>
      <formula2>35</formula2>
    </dataValidation>
    <dataValidation sqref="C26" showDropDown="0" showInputMessage="0" showErrorMessage="0" allowBlank="1" type="whole" errorStyle="stop" operator="between">
      <formula1>0</formula1>
      <formula2>20</formula2>
    </dataValidation>
    <dataValidation sqref="C28" showDropDown="0" showInputMessage="0" showErrorMessage="0" allowBlank="1" type="whole" errorStyle="stop" operator="between">
      <formula1>0</formula1>
      <formula2>25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2026-10-13T09:38:48Z</dcterms:created>
  <dcterms:modified xsi:type="dcterms:W3CDTF">2026-10-25T13:32:24Z</dcterms:modified>
  <cp:revision>0</cp:revision>
</cp:coreProperties>
</file>